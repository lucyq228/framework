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OneDrive\Documents\Dev_Projects\Use_cases_framework\decomp_yoy_growth\accounting_based_examples\"/>
    </mc:Choice>
  </mc:AlternateContent>
  <xr:revisionPtr revIDLastSave="0" documentId="13_ncr:9_{34188CCB-36E5-4863-941A-4166FA9AF3DC}" xr6:coauthVersionLast="47" xr6:coauthVersionMax="47" xr10:uidLastSave="{00000000-0000-0000-0000-000000000000}"/>
  <bookViews>
    <workbookView xWindow="-28920" yWindow="1800" windowWidth="29040" windowHeight="15720" xr2:uid="{DE24372C-883C-4840-B493-7FF013F54DC2}"/>
  </bookViews>
  <sheets>
    <sheet name="gpu_decomp_detail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AC13" i="1" l="1"/>
  <c r="AB13" i="1"/>
  <c r="AA13" i="1"/>
  <c r="Z13" i="1"/>
  <c r="Y13" i="1"/>
  <c r="X13" i="1"/>
  <c r="U13" i="1"/>
  <c r="T13" i="1"/>
</calcChain>
</file>

<file path=xl/sharedStrings.xml><?xml version="1.0" encoding="utf-8"?>
<sst xmlns="http://schemas.openxmlformats.org/spreadsheetml/2006/main" count="180" uniqueCount="93">
  <si>
    <t>metric_name</t>
  </si>
  <si>
    <t>analysis_type</t>
  </si>
  <si>
    <t>metric</t>
  </si>
  <si>
    <t>numerator_col</t>
  </si>
  <si>
    <t>denominator_col</t>
  </si>
  <si>
    <t>hierarchy_name</t>
  </si>
  <si>
    <t>level</t>
  </si>
  <si>
    <t>node_dimension</t>
  </si>
  <si>
    <t>node_value</t>
  </si>
  <si>
    <t>node_key</t>
  </si>
  <si>
    <t>parent_key</t>
  </si>
  <si>
    <t>path</t>
  </si>
  <si>
    <t>base_numerator</t>
  </si>
  <si>
    <t>current_numerator</t>
  </si>
  <si>
    <t>base_denominator</t>
  </si>
  <si>
    <t>current_denominator</t>
  </si>
  <si>
    <t>ratio_base</t>
  </si>
  <si>
    <t>ratio_current</t>
  </si>
  <si>
    <t>ratio_delta</t>
  </si>
  <si>
    <t>base_weight_of_root</t>
  </si>
  <si>
    <t>current_weight_of_root</t>
  </si>
  <si>
    <t>base_share_within_parent_den</t>
  </si>
  <si>
    <t>current_share_within_parent_den</t>
  </si>
  <si>
    <t>mix_abs_root</t>
  </si>
  <si>
    <t>within_abs_root</t>
  </si>
  <si>
    <t>total_abs_root</t>
  </si>
  <si>
    <t>mix_pct_of_root_metric</t>
  </si>
  <si>
    <t>within_pct_of_root_metric</t>
  </si>
  <si>
    <t>total_pct_of_root_metric</t>
  </si>
  <si>
    <t>calc_formula</t>
  </si>
  <si>
    <t>gross_price_per_unit</t>
  </si>
  <si>
    <t>ratio</t>
  </si>
  <si>
    <t>gross_sales</t>
  </si>
  <si>
    <t>units</t>
  </si>
  <si>
    <t>menu_type</t>
  </si>
  <si>
    <t>ROOT</t>
  </si>
  <si>
    <t>ALL</t>
  </si>
  <si>
    <t>total_abs_root = (w1-w0)*ratio_base + w1*(ratio_current-ratio_base)</t>
  </si>
  <si>
    <t>core</t>
  </si>
  <si>
    <t>menu_type=core</t>
  </si>
  <si>
    <t>premium</t>
  </si>
  <si>
    <t>menu_type=premium</t>
  </si>
  <si>
    <t>value</t>
  </si>
  <si>
    <t>menu_type=value</t>
  </si>
  <si>
    <t>daypart</t>
  </si>
  <si>
    <t>breakfast</t>
  </si>
  <si>
    <t>daypart=breakfast</t>
  </si>
  <si>
    <t>dinner</t>
  </si>
  <si>
    <t>daypart=dinner</t>
  </si>
  <si>
    <t>late_night</t>
  </si>
  <si>
    <t>daypart=late_night</t>
  </si>
  <si>
    <t>lunch</t>
  </si>
  <si>
    <t>daypart=lunch</t>
  </si>
  <si>
    <t>weights are based on units</t>
  </si>
  <si>
    <t>w0 = base weight, w1 = current weights</t>
  </si>
  <si>
    <t>Core share decreased → reduces overall GPU</t>
  </si>
  <si>
    <t>→ negative mix effect</t>
  </si>
  <si>
    <t>Core price increased → positive effect</t>
  </si>
  <si>
    <r>
      <t xml:space="preserve">For </t>
    </r>
    <r>
      <rPr>
        <b/>
        <sz val="11"/>
        <color theme="1"/>
        <rFont val="Calibri"/>
        <family val="2"/>
        <scheme val="minor"/>
      </rPr>
      <t>Core menu</t>
    </r>
    <r>
      <rPr>
        <sz val="11"/>
        <color theme="1"/>
        <rFont val="Calibri"/>
        <family val="2"/>
        <scheme val="minor"/>
      </rPr>
      <t>:</t>
    </r>
  </si>
  <si>
    <t>Mix effect</t>
  </si>
  <si>
    <r>
      <t xml:space="preserve">share ↓ → </t>
    </r>
    <r>
      <rPr>
        <b/>
        <sz val="11"/>
        <color theme="1"/>
        <rFont val="Calibri"/>
        <family val="2"/>
        <scheme val="minor"/>
      </rPr>
      <t>-0.89 pp impact</t>
    </r>
  </si>
  <si>
    <t>Within effect</t>
  </si>
  <si>
    <r>
      <t xml:space="preserve">price ↑ → </t>
    </r>
    <r>
      <rPr>
        <b/>
        <sz val="11"/>
        <color theme="1"/>
        <rFont val="Calibri"/>
        <family val="2"/>
        <scheme val="minor"/>
      </rPr>
      <t>+1.15 pp impact</t>
    </r>
  </si>
  <si>
    <t>Net effect</t>
  </si>
  <si>
    <t>+0.26 pp contribution to GPU</t>
  </si>
  <si>
    <t>🧠 3. Clean mental model (VERY IMPORTANT)</t>
  </si>
  <si>
    <t>This is the correct framework:</t>
  </si>
  <si>
    <r>
      <t xml:space="preserve">🔷 Additive metrics → </t>
    </r>
    <r>
      <rPr>
        <b/>
        <sz val="10"/>
        <color theme="1"/>
        <rFont val="Arial Unicode MS"/>
      </rPr>
      <t>"additive__"</t>
    </r>
  </si>
  <si>
    <t>These follow:</t>
  </si>
  <si>
    <t>Contribution=Share×GrowthContribution = Share \times GrowthContribution=Share×Growth</t>
  </si>
  <si>
    <t>Examples:</t>
  </si>
  <si>
    <t>Metric</t>
  </si>
  <si>
    <t>Source</t>
  </si>
  <si>
    <t>GC</t>
  </si>
  <si>
    <t>additive__gc</t>
  </si>
  <si>
    <t>Sales</t>
  </si>
  <si>
    <t>additive__sales</t>
  </si>
  <si>
    <t>Discount dollars</t>
  </si>
  <si>
    <t>additive__discount_amount</t>
  </si>
  <si>
    <t>Units</t>
  </si>
  <si>
    <t>additive__units</t>
  </si>
  <si>
    <r>
      <t xml:space="preserve">🔷 Ratio metrics → </t>
    </r>
    <r>
      <rPr>
        <b/>
        <sz val="10"/>
        <color theme="1"/>
        <rFont val="Arial Unicode MS"/>
      </rPr>
      <t>"ratio__"</t>
    </r>
  </si>
  <si>
    <t>Δ=Mix+Within\Delta = Mix + WithinΔ=Mix+Within</t>
  </si>
  <si>
    <t>AC</t>
  </si>
  <si>
    <t>ratio__ac</t>
  </si>
  <si>
    <t>UPT</t>
  </si>
  <si>
    <t>ratio__upt</t>
  </si>
  <si>
    <t>AUR</t>
  </si>
  <si>
    <t>ratio__aur</t>
  </si>
  <si>
    <t>GrossPricePerUnit</t>
  </si>
  <si>
    <t>ratio__gross_price_per_unit</t>
  </si>
  <si>
    <t>DiscountPerUnit</t>
  </si>
  <si>
    <t>ratio__discount_per_unit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</si>
</sst>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 indent="1"/>
    </xf>
    <xf numFmtId="0" fontId="0" fillId="33" borderId="0" xfId="0" applyFill="1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10" fontId="0" fillId="0" borderId="0" xfId="1" applyNumberFormat="1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511175</xdr:colOff>
      <xdr:row>17</xdr:row>
      <xdr:rowOff>16630</xdr:rowOff>
    </xdr:from>
    <xdr:to>
      <xdr:col>25</xdr:col>
      <xdr:colOff>867675</xdr:colOff>
      <xdr:row>26</xdr:row>
      <xdr:rowOff>143234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3B7E1-D88F-23E7-B8EF-A4DFE8599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66675" y="3093205"/>
          <a:ext cx="4404625" cy="175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492125</xdr:colOff>
      <xdr:row>17</xdr:row>
      <xdr:rowOff>55832</xdr:rowOff>
    </xdr:from>
    <xdr:to>
      <xdr:col>30</xdr:col>
      <xdr:colOff>58009</xdr:colOff>
      <xdr:row>26</xdr:row>
      <xdr:rowOff>92364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EF2B03-7935-2C23-4A18-1DC85D8EA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29200" y="3132407"/>
          <a:ext cx="4937984" cy="1665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B872-1EC0-459B-9383-830F6BED40CC}">
  <dimension ref="A1:AD43"/>
  <sheetViews>
    <sheetView tabSelected="1" topLeftCell="S1" workbookViewId="0">
      <selection activeCell="AC2" sqref="AC2"/>
    </sheetView>
  </sheetViews>
  <sheetFormatPr defaultRowHeight="14.5"/>
  <cols>
    <col min="1" max="1" width="20.90625" customWidth="1"/>
    <col min="2" max="2" width="12.54296875" bestFit="1" customWidth="1"/>
    <col min="3" max="3" width="23.36328125" customWidth="1"/>
    <col min="4" max="4" width="13.453125" bestFit="1" customWidth="1"/>
    <col min="5" max="5" width="15.54296875" bestFit="1" customWidth="1"/>
    <col min="6" max="6" width="14.7265625" bestFit="1" customWidth="1"/>
    <col min="8" max="8" width="15.36328125" bestFit="1" customWidth="1"/>
    <col min="9" max="9" width="10.90625" bestFit="1" customWidth="1"/>
    <col min="10" max="10" width="19.6328125" bestFit="1" customWidth="1"/>
    <col min="12" max="12" width="19.6328125" bestFit="1" customWidth="1"/>
    <col min="13" max="13" width="15" bestFit="1" customWidth="1"/>
    <col min="14" max="14" width="17.26953125" bestFit="1" customWidth="1"/>
    <col min="15" max="15" width="17.1796875" bestFit="1" customWidth="1"/>
    <col min="16" max="16" width="19.36328125" bestFit="1" customWidth="1"/>
    <col min="17" max="17" width="11.81640625" bestFit="1" customWidth="1"/>
    <col min="18" max="18" width="12" bestFit="1" customWidth="1"/>
    <col min="19" max="19" width="11.81640625" bestFit="1" customWidth="1"/>
    <col min="20" max="20" width="19.1796875" bestFit="1" customWidth="1"/>
    <col min="21" max="21" width="21.54296875" bestFit="1" customWidth="1"/>
    <col min="22" max="22" width="28.36328125" bestFit="1" customWidth="1"/>
    <col min="23" max="23" width="30.54296875" bestFit="1" customWidth="1"/>
    <col min="24" max="24" width="12.54296875" bestFit="1" customWidth="1"/>
    <col min="25" max="25" width="14.81640625" bestFit="1" customWidth="1"/>
    <col min="26" max="26" width="13.36328125" bestFit="1" customWidth="1"/>
    <col min="27" max="27" width="21.6328125" bestFit="1" customWidth="1"/>
    <col min="28" max="28" width="24" bestFit="1" customWidth="1"/>
    <col min="29" max="29" width="22.4531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30</v>
      </c>
      <c r="D2" t="s">
        <v>32</v>
      </c>
      <c r="E2" t="s">
        <v>33</v>
      </c>
      <c r="F2" t="s">
        <v>34</v>
      </c>
      <c r="G2">
        <v>0</v>
      </c>
      <c r="H2" t="s">
        <v>35</v>
      </c>
      <c r="I2" t="s">
        <v>36</v>
      </c>
      <c r="J2" t="s">
        <v>35</v>
      </c>
      <c r="L2" t="s">
        <v>35</v>
      </c>
      <c r="M2">
        <v>798693.79</v>
      </c>
      <c r="N2">
        <v>907007.90999999898</v>
      </c>
      <c r="O2">
        <v>119999</v>
      </c>
      <c r="P2">
        <v>131333</v>
      </c>
      <c r="Q2">
        <v>6.6558370486420699</v>
      </c>
      <c r="R2">
        <v>6.9061691273327996</v>
      </c>
      <c r="S2">
        <v>0.25033207869073598</v>
      </c>
      <c r="T2">
        <v>1</v>
      </c>
      <c r="U2">
        <v>1</v>
      </c>
      <c r="V2">
        <v>1</v>
      </c>
      <c r="W2">
        <v>1</v>
      </c>
      <c r="X2">
        <v>0</v>
      </c>
      <c r="Y2">
        <v>0.25033207869073598</v>
      </c>
      <c r="Z2">
        <v>0.25033207869073598</v>
      </c>
      <c r="AA2" s="5">
        <v>0</v>
      </c>
      <c r="AB2" s="5">
        <v>3.7610908569615499E-2</v>
      </c>
      <c r="AC2" s="5">
        <v>3.7610908569615499E-2</v>
      </c>
      <c r="AD2" t="s">
        <v>37</v>
      </c>
    </row>
    <row r="3" spans="1:30">
      <c r="A3" t="s">
        <v>30</v>
      </c>
      <c r="B3" t="s">
        <v>31</v>
      </c>
      <c r="C3" t="s">
        <v>30</v>
      </c>
      <c r="D3" t="s">
        <v>32</v>
      </c>
      <c r="E3" t="s">
        <v>33</v>
      </c>
      <c r="F3" t="s">
        <v>34</v>
      </c>
      <c r="G3">
        <v>1</v>
      </c>
      <c r="H3" t="s">
        <v>34</v>
      </c>
      <c r="I3" t="s">
        <v>38</v>
      </c>
      <c r="J3" t="s">
        <v>39</v>
      </c>
      <c r="K3" t="s">
        <v>35</v>
      </c>
      <c r="L3" t="s">
        <v>39</v>
      </c>
      <c r="M3">
        <v>336291.93</v>
      </c>
      <c r="N3">
        <v>370288.94</v>
      </c>
      <c r="O3">
        <v>52665</v>
      </c>
      <c r="P3">
        <v>56415</v>
      </c>
      <c r="Q3">
        <v>6.3854918826545104</v>
      </c>
      <c r="R3">
        <v>6.5636610830452797</v>
      </c>
      <c r="S3">
        <v>0.178169200390775</v>
      </c>
      <c r="T3">
        <v>0.43887865732214398</v>
      </c>
      <c r="U3">
        <v>0.42955692780946098</v>
      </c>
      <c r="V3">
        <v>0.43887865732214398</v>
      </c>
      <c r="W3">
        <v>0.42955692780946098</v>
      </c>
      <c r="X3" s="2">
        <v>-5.9523828135537998E-2</v>
      </c>
      <c r="Y3" s="2">
        <v>7.6533814350129806E-2</v>
      </c>
      <c r="Z3">
        <v>1.70099862145918E-2</v>
      </c>
      <c r="AA3" s="5">
        <v>-8.9431017767603004E-3</v>
      </c>
      <c r="AB3" s="5">
        <v>1.14987512150322E-2</v>
      </c>
      <c r="AC3" s="5">
        <v>2.5556494382719601E-3</v>
      </c>
      <c r="AD3" t="s">
        <v>37</v>
      </c>
    </row>
    <row r="4" spans="1:30">
      <c r="A4" t="s">
        <v>30</v>
      </c>
      <c r="B4" t="s">
        <v>31</v>
      </c>
      <c r="C4" t="s">
        <v>30</v>
      </c>
      <c r="D4" t="s">
        <v>32</v>
      </c>
      <c r="E4" t="s">
        <v>33</v>
      </c>
      <c r="F4" t="s">
        <v>34</v>
      </c>
      <c r="G4">
        <v>1</v>
      </c>
      <c r="H4" t="s">
        <v>34</v>
      </c>
      <c r="I4" t="s">
        <v>40</v>
      </c>
      <c r="J4" t="s">
        <v>41</v>
      </c>
      <c r="K4" t="s">
        <v>35</v>
      </c>
      <c r="L4" t="s">
        <v>41</v>
      </c>
      <c r="M4">
        <v>270990.74</v>
      </c>
      <c r="N4">
        <v>328023.81</v>
      </c>
      <c r="O4">
        <v>29447</v>
      </c>
      <c r="P4">
        <v>34459</v>
      </c>
      <c r="Q4">
        <v>9.2026603728732894</v>
      </c>
      <c r="R4">
        <v>9.5192492527351291</v>
      </c>
      <c r="S4">
        <v>0.31658887986183598</v>
      </c>
      <c r="T4">
        <v>0.24539371161426299</v>
      </c>
      <c r="U4">
        <v>0.26237883852497002</v>
      </c>
      <c r="V4">
        <v>0.24539371161426299</v>
      </c>
      <c r="W4">
        <v>0.26237883852497002</v>
      </c>
      <c r="X4">
        <v>0.156308354349391</v>
      </c>
      <c r="Y4">
        <v>8.3066222588070102E-2</v>
      </c>
      <c r="Z4">
        <v>0.239374576937461</v>
      </c>
      <c r="AA4" s="5">
        <v>2.3484402218242599E-2</v>
      </c>
      <c r="AB4" s="5">
        <v>1.2480206769037E-2</v>
      </c>
      <c r="AC4" s="5">
        <v>3.59646089872796E-2</v>
      </c>
      <c r="AD4" t="s">
        <v>37</v>
      </c>
    </row>
    <row r="5" spans="1:30">
      <c r="A5" t="s">
        <v>30</v>
      </c>
      <c r="B5" t="s">
        <v>31</v>
      </c>
      <c r="C5" t="s">
        <v>30</v>
      </c>
      <c r="D5" t="s">
        <v>32</v>
      </c>
      <c r="E5" t="s">
        <v>33</v>
      </c>
      <c r="F5" t="s">
        <v>34</v>
      </c>
      <c r="G5">
        <v>1</v>
      </c>
      <c r="H5" t="s">
        <v>34</v>
      </c>
      <c r="I5" t="s">
        <v>42</v>
      </c>
      <c r="J5" t="s">
        <v>43</v>
      </c>
      <c r="K5" t="s">
        <v>35</v>
      </c>
      <c r="L5" t="s">
        <v>43</v>
      </c>
      <c r="M5">
        <v>191411.12</v>
      </c>
      <c r="N5">
        <v>208695.16</v>
      </c>
      <c r="O5">
        <v>37887</v>
      </c>
      <c r="P5">
        <v>40459</v>
      </c>
      <c r="Q5">
        <v>5.0521582600892101</v>
      </c>
      <c r="R5">
        <v>5.1581887837069598</v>
      </c>
      <c r="S5">
        <v>0.10603052361774901</v>
      </c>
      <c r="T5">
        <v>0.31572763106359197</v>
      </c>
      <c r="U5">
        <v>0.30806423366556701</v>
      </c>
      <c r="V5">
        <v>0.31572763106359197</v>
      </c>
      <c r="W5">
        <v>0.30806423366556701</v>
      </c>
      <c r="X5">
        <v>-3.8716696464775699E-2</v>
      </c>
      <c r="Y5">
        <v>3.2664212003460903E-2</v>
      </c>
      <c r="Z5">
        <v>-6.0524844613148304E-3</v>
      </c>
      <c r="AA5" s="5">
        <v>-5.81695377783846E-3</v>
      </c>
      <c r="AB5" s="5">
        <v>4.9076039219026696E-3</v>
      </c>
      <c r="AC5" s="5">
        <v>-9.0934985593580004E-4</v>
      </c>
      <c r="AD5" t="s">
        <v>37</v>
      </c>
    </row>
    <row r="6" spans="1:30">
      <c r="A6" t="s">
        <v>30</v>
      </c>
      <c r="B6" t="s">
        <v>31</v>
      </c>
      <c r="C6" t="s">
        <v>30</v>
      </c>
      <c r="D6" t="s">
        <v>32</v>
      </c>
      <c r="E6" t="s">
        <v>33</v>
      </c>
      <c r="F6" t="s">
        <v>44</v>
      </c>
      <c r="G6">
        <v>0</v>
      </c>
      <c r="H6" t="s">
        <v>35</v>
      </c>
      <c r="I6" t="s">
        <v>36</v>
      </c>
      <c r="J6" t="s">
        <v>35</v>
      </c>
      <c r="L6" t="s">
        <v>35</v>
      </c>
      <c r="M6">
        <v>798693.79</v>
      </c>
      <c r="N6">
        <v>907007.90999999898</v>
      </c>
      <c r="O6">
        <v>119999</v>
      </c>
      <c r="P6">
        <v>131333</v>
      </c>
      <c r="Q6">
        <v>6.6558370486420699</v>
      </c>
      <c r="R6">
        <v>6.9061691273327996</v>
      </c>
      <c r="S6">
        <v>0.25033207869073598</v>
      </c>
      <c r="T6">
        <v>1</v>
      </c>
      <c r="U6">
        <v>1</v>
      </c>
      <c r="V6">
        <v>1</v>
      </c>
      <c r="W6">
        <v>1</v>
      </c>
      <c r="X6">
        <v>0</v>
      </c>
      <c r="Y6">
        <v>0.25033207869073598</v>
      </c>
      <c r="Z6">
        <v>0.25033207869073598</v>
      </c>
      <c r="AA6" s="5">
        <v>0</v>
      </c>
      <c r="AB6" s="5">
        <v>3.7610908569615499E-2</v>
      </c>
      <c r="AC6" s="5">
        <v>3.7610908569615499E-2</v>
      </c>
      <c r="AD6" t="s">
        <v>37</v>
      </c>
    </row>
    <row r="7" spans="1:30">
      <c r="A7" t="s">
        <v>30</v>
      </c>
      <c r="B7" t="s">
        <v>31</v>
      </c>
      <c r="C7" t="s">
        <v>30</v>
      </c>
      <c r="D7" t="s">
        <v>32</v>
      </c>
      <c r="E7" t="s">
        <v>33</v>
      </c>
      <c r="F7" t="s">
        <v>44</v>
      </c>
      <c r="G7">
        <v>1</v>
      </c>
      <c r="H7" t="s">
        <v>44</v>
      </c>
      <c r="I7" t="s">
        <v>45</v>
      </c>
      <c r="J7" t="s">
        <v>46</v>
      </c>
      <c r="K7" t="s">
        <v>35</v>
      </c>
      <c r="L7" t="s">
        <v>46</v>
      </c>
      <c r="M7">
        <v>167360.54999999999</v>
      </c>
      <c r="N7">
        <v>188272.83</v>
      </c>
      <c r="O7">
        <v>27683</v>
      </c>
      <c r="P7">
        <v>30029</v>
      </c>
      <c r="Q7">
        <v>6.0456074124914201</v>
      </c>
      <c r="R7">
        <v>6.2697002897199301</v>
      </c>
      <c r="S7">
        <v>0.22409287722851701</v>
      </c>
      <c r="T7">
        <v>0.230693589113242</v>
      </c>
      <c r="U7">
        <v>0.22864778844616299</v>
      </c>
      <c r="V7">
        <v>0.230693589113242</v>
      </c>
      <c r="W7">
        <v>0.22864778844616299</v>
      </c>
      <c r="X7">
        <v>-1.2368107677372901E-2</v>
      </c>
      <c r="Y7">
        <v>5.1238340784838E-2</v>
      </c>
      <c r="Z7">
        <v>3.8870233107465103E-2</v>
      </c>
      <c r="AA7" s="5">
        <v>-1.8582347474832301E-3</v>
      </c>
      <c r="AB7" s="5">
        <v>7.6982564943190298E-3</v>
      </c>
      <c r="AC7" s="5">
        <v>5.8400217468357997E-3</v>
      </c>
      <c r="AD7" t="s">
        <v>37</v>
      </c>
    </row>
    <row r="8" spans="1:30">
      <c r="A8" t="s">
        <v>30</v>
      </c>
      <c r="B8" t="s">
        <v>31</v>
      </c>
      <c r="C8" t="s">
        <v>30</v>
      </c>
      <c r="D8" t="s">
        <v>32</v>
      </c>
      <c r="E8" t="s">
        <v>33</v>
      </c>
      <c r="F8" t="s">
        <v>44</v>
      </c>
      <c r="G8">
        <v>1</v>
      </c>
      <c r="H8" t="s">
        <v>44</v>
      </c>
      <c r="I8" t="s">
        <v>47</v>
      </c>
      <c r="J8" t="s">
        <v>48</v>
      </c>
      <c r="K8" t="s">
        <v>35</v>
      </c>
      <c r="L8" t="s">
        <v>48</v>
      </c>
      <c r="M8">
        <v>299438.44</v>
      </c>
      <c r="N8">
        <v>339796.44</v>
      </c>
      <c r="O8">
        <v>41961</v>
      </c>
      <c r="P8">
        <v>46057</v>
      </c>
      <c r="Q8">
        <v>7.1361130573627802</v>
      </c>
      <c r="R8">
        <v>7.3777371517901704</v>
      </c>
      <c r="S8">
        <v>0.241624094427383</v>
      </c>
      <c r="T8">
        <v>0.349677913982616</v>
      </c>
      <c r="U8">
        <v>0.35068870733174401</v>
      </c>
      <c r="V8">
        <v>0.349677913982616</v>
      </c>
      <c r="W8">
        <v>0.35068870733174401</v>
      </c>
      <c r="X8">
        <v>7.2131356170078804E-3</v>
      </c>
      <c r="Y8">
        <v>8.4734841334942607E-2</v>
      </c>
      <c r="Z8">
        <v>9.1947976951950505E-2</v>
      </c>
      <c r="AA8" s="5">
        <v>1.08373080114386E-3</v>
      </c>
      <c r="AB8" s="5">
        <v>1.2730906828951E-2</v>
      </c>
      <c r="AC8" s="5">
        <v>1.3814637630094899E-2</v>
      </c>
      <c r="AD8" t="s">
        <v>37</v>
      </c>
    </row>
    <row r="9" spans="1:30">
      <c r="A9" t="s">
        <v>30</v>
      </c>
      <c r="B9" t="s">
        <v>31</v>
      </c>
      <c r="C9" t="s">
        <v>30</v>
      </c>
      <c r="D9" t="s">
        <v>32</v>
      </c>
      <c r="E9" t="s">
        <v>33</v>
      </c>
      <c r="F9" t="s">
        <v>44</v>
      </c>
      <c r="G9">
        <v>1</v>
      </c>
      <c r="H9" t="s">
        <v>44</v>
      </c>
      <c r="I9" t="s">
        <v>49</v>
      </c>
      <c r="J9" t="s">
        <v>50</v>
      </c>
      <c r="K9" t="s">
        <v>35</v>
      </c>
      <c r="L9" t="s">
        <v>50</v>
      </c>
      <c r="M9">
        <v>105651.94</v>
      </c>
      <c r="N9">
        <v>116188.54</v>
      </c>
      <c r="O9">
        <v>15550</v>
      </c>
      <c r="P9">
        <v>16286</v>
      </c>
      <c r="Q9">
        <v>6.7943369774919598</v>
      </c>
      <c r="R9">
        <v>7.1342588726513503</v>
      </c>
      <c r="S9">
        <v>0.33992189515939403</v>
      </c>
      <c r="T9">
        <v>0.12958441320344299</v>
      </c>
      <c r="U9">
        <v>0.124005390876626</v>
      </c>
      <c r="V9">
        <v>0.12958441320344299</v>
      </c>
      <c r="W9">
        <v>0.124005390876626</v>
      </c>
      <c r="X9">
        <v>-3.7905757693344401E-2</v>
      </c>
      <c r="Y9">
        <v>4.21521474767644E-2</v>
      </c>
      <c r="Z9">
        <v>4.2463897834200204E-3</v>
      </c>
      <c r="AA9" s="5">
        <v>-5.6951150420784299E-3</v>
      </c>
      <c r="AB9" s="5">
        <v>6.3331098956763603E-3</v>
      </c>
      <c r="AC9" s="5">
        <v>6.3799485359792196E-4</v>
      </c>
      <c r="AD9" t="s">
        <v>37</v>
      </c>
    </row>
    <row r="10" spans="1:30">
      <c r="A10" t="s">
        <v>30</v>
      </c>
      <c r="B10" t="s">
        <v>31</v>
      </c>
      <c r="C10" t="s">
        <v>30</v>
      </c>
      <c r="D10" t="s">
        <v>32</v>
      </c>
      <c r="E10" t="s">
        <v>33</v>
      </c>
      <c r="F10" t="s">
        <v>44</v>
      </c>
      <c r="G10">
        <v>1</v>
      </c>
      <c r="H10" t="s">
        <v>44</v>
      </c>
      <c r="I10" t="s">
        <v>51</v>
      </c>
      <c r="J10" t="s">
        <v>52</v>
      </c>
      <c r="K10" t="s">
        <v>35</v>
      </c>
      <c r="L10" t="s">
        <v>52</v>
      </c>
      <c r="M10">
        <v>226242.86</v>
      </c>
      <c r="N10">
        <v>262750.09999999998</v>
      </c>
      <c r="O10">
        <v>34805</v>
      </c>
      <c r="P10">
        <v>38961</v>
      </c>
      <c r="Q10">
        <v>6.5002976583824097</v>
      </c>
      <c r="R10">
        <v>6.7439259772593099</v>
      </c>
      <c r="S10">
        <v>0.24362831887689301</v>
      </c>
      <c r="T10">
        <v>0.29004408370069701</v>
      </c>
      <c r="U10">
        <v>0.29665811334546499</v>
      </c>
      <c r="V10">
        <v>0.29004408370069701</v>
      </c>
      <c r="W10">
        <v>0.29665811334546499</v>
      </c>
      <c r="X10">
        <v>4.2993161412356103E-2</v>
      </c>
      <c r="Y10">
        <v>7.2274317435546701E-2</v>
      </c>
      <c r="Z10">
        <v>0.11526747884790201</v>
      </c>
      <c r="AA10" s="5">
        <v>6.4594672462913701E-3</v>
      </c>
      <c r="AB10" s="5">
        <v>1.0858787092795801E-2</v>
      </c>
      <c r="AC10" s="5">
        <v>1.73182543390871E-2</v>
      </c>
      <c r="AD10" t="s">
        <v>37</v>
      </c>
    </row>
    <row r="13" spans="1:30">
      <c r="T13">
        <f>O3/O2</f>
        <v>0.43887865732214437</v>
      </c>
      <c r="U13">
        <f>P3/P2</f>
        <v>0.42955692780946142</v>
      </c>
      <c r="X13" s="2">
        <f>(U13-T13)*Q3</f>
        <v>-5.9523828135537978E-2</v>
      </c>
      <c r="Y13" s="2">
        <f>U3*(R3-Q3)</f>
        <v>7.6533814350127086E-2</v>
      </c>
      <c r="Z13">
        <f>SUM(X13:Y13)</f>
        <v>1.7009986214589108E-2</v>
      </c>
      <c r="AA13" s="5">
        <f>X13/Q2</f>
        <v>-8.9431017767603073E-3</v>
      </c>
      <c r="AB13" s="5">
        <f>Y13/Q2</f>
        <v>1.1498751215031862E-2</v>
      </c>
      <c r="AC13" s="5">
        <f>SUM(AA13:AB13)</f>
        <v>2.5556494382715546E-3</v>
      </c>
    </row>
    <row r="14" spans="1:30">
      <c r="T14" t="s">
        <v>53</v>
      </c>
    </row>
    <row r="15" spans="1:30">
      <c r="T15" t="s">
        <v>54</v>
      </c>
    </row>
    <row r="28" spans="24:28">
      <c r="AB28" t="s">
        <v>57</v>
      </c>
    </row>
    <row r="29" spans="24:28">
      <c r="X29" s="1" t="s">
        <v>55</v>
      </c>
    </row>
    <row r="30" spans="24:28">
      <c r="X30" s="1" t="s">
        <v>56</v>
      </c>
    </row>
    <row r="31" spans="24:28">
      <c r="AA31" t="s">
        <v>58</v>
      </c>
    </row>
    <row r="33" spans="27:27" ht="17.5">
      <c r="AA33" s="3" t="s">
        <v>59</v>
      </c>
    </row>
    <row r="34" spans="27:27">
      <c r="AA34" s="1"/>
    </row>
    <row r="35" spans="27:27">
      <c r="AA35" s="1" t="s">
        <v>60</v>
      </c>
    </row>
    <row r="37" spans="27:27" ht="17.5">
      <c r="AA37" s="3" t="s">
        <v>61</v>
      </c>
    </row>
    <row r="38" spans="27:27">
      <c r="AA38" s="1"/>
    </row>
    <row r="39" spans="27:27">
      <c r="AA39" s="1" t="s">
        <v>62</v>
      </c>
    </row>
    <row r="41" spans="27:27" ht="17.5">
      <c r="AA41" s="3" t="s">
        <v>63</v>
      </c>
    </row>
    <row r="42" spans="27:27">
      <c r="AA42" s="1"/>
    </row>
    <row r="43" spans="27:27">
      <c r="AA43" s="4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5F9B-8860-4463-8E8A-24D9BEC0380D}">
  <dimension ref="A1:B35"/>
  <sheetViews>
    <sheetView workbookViewId="0">
      <selection activeCell="A26" sqref="A26"/>
    </sheetView>
  </sheetViews>
  <sheetFormatPr defaultRowHeight="14.5"/>
  <sheetData>
    <row r="1" spans="1:2" ht="31">
      <c r="A1" s="6" t="s">
        <v>65</v>
      </c>
    </row>
    <row r="3" spans="1:2">
      <c r="A3" t="s">
        <v>66</v>
      </c>
    </row>
    <row r="7" spans="1:2" ht="23.5">
      <c r="A7" s="7" t="s">
        <v>67</v>
      </c>
    </row>
    <row r="9" spans="1:2">
      <c r="A9" t="s">
        <v>68</v>
      </c>
    </row>
    <row r="11" spans="1:2">
      <c r="A11" s="2" t="s">
        <v>69</v>
      </c>
    </row>
    <row r="13" spans="1:2">
      <c r="A13" t="s">
        <v>70</v>
      </c>
    </row>
    <row r="15" spans="1:2">
      <c r="A15" s="8" t="s">
        <v>71</v>
      </c>
      <c r="B15" s="8" t="s">
        <v>72</v>
      </c>
    </row>
    <row r="16" spans="1:2" ht="25">
      <c r="A16" s="9" t="s">
        <v>73</v>
      </c>
      <c r="B16" s="10" t="s">
        <v>74</v>
      </c>
    </row>
    <row r="17" spans="1:2" ht="25">
      <c r="A17" s="9" t="s">
        <v>75</v>
      </c>
      <c r="B17" s="10" t="s">
        <v>76</v>
      </c>
    </row>
    <row r="18" spans="1:2" ht="37.5">
      <c r="A18" s="9" t="s">
        <v>77</v>
      </c>
      <c r="B18" s="10" t="s">
        <v>78</v>
      </c>
    </row>
    <row r="19" spans="1:2" ht="25">
      <c r="A19" s="9" t="s">
        <v>79</v>
      </c>
      <c r="B19" s="10" t="s">
        <v>80</v>
      </c>
    </row>
    <row r="22" spans="1:2" ht="23.5">
      <c r="A22" s="7" t="s">
        <v>81</v>
      </c>
    </row>
    <row r="24" spans="1:2">
      <c r="A24" t="s">
        <v>68</v>
      </c>
    </row>
    <row r="26" spans="1:2">
      <c r="A26" s="2" t="s">
        <v>82</v>
      </c>
    </row>
    <row r="28" spans="1:2">
      <c r="A28" t="s">
        <v>70</v>
      </c>
    </row>
    <row r="30" spans="1:2">
      <c r="A30" s="8" t="s">
        <v>71</v>
      </c>
      <c r="B30" s="8" t="s">
        <v>72</v>
      </c>
    </row>
    <row r="31" spans="1:2">
      <c r="A31" s="9" t="s">
        <v>83</v>
      </c>
      <c r="B31" s="10" t="s">
        <v>84</v>
      </c>
    </row>
    <row r="32" spans="1:2" ht="25">
      <c r="A32" s="9" t="s">
        <v>85</v>
      </c>
      <c r="B32" s="10" t="s">
        <v>86</v>
      </c>
    </row>
    <row r="33" spans="1:2" ht="25">
      <c r="A33" s="9" t="s">
        <v>87</v>
      </c>
      <c r="B33" s="10" t="s">
        <v>88</v>
      </c>
    </row>
    <row r="34" spans="1:2" ht="37.5">
      <c r="A34" s="9" t="s">
        <v>89</v>
      </c>
      <c r="B34" s="10" t="s">
        <v>90</v>
      </c>
    </row>
    <row r="35" spans="1:2" ht="37.5">
      <c r="A35" s="9" t="s">
        <v>91</v>
      </c>
      <c r="B35" s="1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gpu_decomp_details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Qian</dc:creator>
  <cp:lastModifiedBy>Cheng Qian</cp:lastModifiedBy>
  <dcterms:created xsi:type="dcterms:W3CDTF">2026-03-29T03:51:13Z</dcterms:created>
  <dcterms:modified xsi:type="dcterms:W3CDTF">2026-03-29T04:15:56Z</dcterms:modified>
</cp:coreProperties>
</file>