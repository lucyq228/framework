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eng\OneDrive\Documents\Dev_Projects\Use_cases_framework\decomp_yoy_growth\"/>
    </mc:Choice>
  </mc:AlternateContent>
  <xr:revisionPtr revIDLastSave="0" documentId="13_ncr:1_{CC854656-0D5D-46C0-8F95-CC2D739D66CF}" xr6:coauthVersionLast="47" xr6:coauthVersionMax="47" xr10:uidLastSave="{00000000-0000-0000-0000-000000000000}"/>
  <bookViews>
    <workbookView xWindow="-28920" yWindow="1800" windowWidth="29040" windowHeight="15720" xr2:uid="{FE4197CF-8EC4-4512-821C-5AFAFF34C94A}"/>
  </bookViews>
  <sheets>
    <sheet name="Sheet1 (2)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5" i="2" l="1"/>
  <c r="Y35" i="2"/>
  <c r="X35" i="2"/>
  <c r="N35" i="2"/>
  <c r="N40" i="2"/>
  <c r="K40" i="2"/>
  <c r="M40" i="2"/>
  <c r="L41" i="2"/>
  <c r="E41" i="2"/>
  <c r="J41" i="2"/>
  <c r="C41" i="2"/>
  <c r="Y40" i="2"/>
  <c r="F40" i="2"/>
  <c r="X40" i="2"/>
  <c r="D40" i="2"/>
  <c r="N39" i="2"/>
  <c r="Y39" i="2"/>
  <c r="M39" i="2"/>
  <c r="F39" i="2"/>
  <c r="X39" i="2"/>
  <c r="K39" i="2"/>
  <c r="D39" i="2"/>
  <c r="N38" i="2"/>
  <c r="Y38" i="2"/>
  <c r="M38" i="2"/>
  <c r="F38" i="2"/>
  <c r="X38" i="2"/>
  <c r="K38" i="2"/>
  <c r="D38" i="2"/>
  <c r="N37" i="2"/>
  <c r="Y37" i="2"/>
  <c r="M37" i="2"/>
  <c r="F37" i="2"/>
  <c r="X37" i="2"/>
  <c r="K37" i="2"/>
  <c r="D37" i="2"/>
  <c r="N36" i="2"/>
  <c r="Y36" i="2"/>
  <c r="M36" i="2"/>
  <c r="F36" i="2"/>
  <c r="X36" i="2"/>
  <c r="K36" i="2"/>
  <c r="D36" i="2"/>
  <c r="M35" i="2"/>
  <c r="F35" i="2"/>
  <c r="K35" i="2"/>
  <c r="D35" i="2"/>
  <c r="C5" i="2"/>
  <c r="B5" i="2"/>
  <c r="D4" i="2"/>
  <c r="D3" i="2"/>
  <c r="C5" i="1"/>
  <c r="E4" i="1"/>
  <c r="D8" i="1"/>
  <c r="D7" i="1"/>
  <c r="S17" i="1"/>
  <c r="W17" i="1"/>
  <c r="AC23" i="1"/>
  <c r="AC18" i="1"/>
  <c r="AC19" i="1"/>
  <c r="AC20" i="1"/>
  <c r="AC21" i="1"/>
  <c r="AC22" i="1"/>
  <c r="AC17" i="1"/>
  <c r="L23" i="1"/>
  <c r="J23" i="1"/>
  <c r="D23" i="1"/>
  <c r="B23" i="1"/>
  <c r="R17" i="1"/>
  <c r="M17" i="1"/>
  <c r="R18" i="1"/>
  <c r="R19" i="1"/>
  <c r="R20" i="1"/>
  <c r="R21" i="1"/>
  <c r="R22" i="1"/>
  <c r="N17" i="1"/>
  <c r="M22" i="1"/>
  <c r="M18" i="1"/>
  <c r="M19" i="1"/>
  <c r="M20" i="1"/>
  <c r="S20" i="1" s="1"/>
  <c r="W20" i="1" s="1"/>
  <c r="Z20" i="1" s="1"/>
  <c r="M21" i="1"/>
  <c r="N18" i="1"/>
  <c r="K18" i="1"/>
  <c r="K19" i="1"/>
  <c r="K20" i="1"/>
  <c r="K21" i="1"/>
  <c r="K22" i="1"/>
  <c r="K17" i="1"/>
  <c r="N22" i="1"/>
  <c r="N21" i="1"/>
  <c r="N20" i="1"/>
  <c r="N19" i="1"/>
  <c r="F18" i="1"/>
  <c r="F19" i="1"/>
  <c r="F20" i="1"/>
  <c r="F21" i="1"/>
  <c r="F22" i="1"/>
  <c r="F17" i="1"/>
  <c r="E18" i="1"/>
  <c r="S18" i="1" s="1"/>
  <c r="W18" i="1" s="1"/>
  <c r="Z18" i="1" s="1"/>
  <c r="E19" i="1"/>
  <c r="S19" i="1" s="1"/>
  <c r="W19" i="1" s="1"/>
  <c r="Z19" i="1" s="1"/>
  <c r="E20" i="1"/>
  <c r="E21" i="1"/>
  <c r="S21" i="1" s="1"/>
  <c r="W21" i="1" s="1"/>
  <c r="Z21" i="1" s="1"/>
  <c r="E22" i="1"/>
  <c r="E17" i="1"/>
  <c r="C18" i="1"/>
  <c r="C19" i="1"/>
  <c r="C20" i="1"/>
  <c r="C21" i="1"/>
  <c r="C22" i="1"/>
  <c r="C17" i="1"/>
  <c r="C4" i="1"/>
  <c r="B4" i="1"/>
  <c r="D3" i="1"/>
  <c r="D2" i="1"/>
  <c r="I35" i="2" l="1"/>
  <c r="I40" i="2"/>
  <c r="Z35" i="2"/>
  <c r="W35" i="2" s="1"/>
  <c r="T35" i="2" s="1"/>
  <c r="O35" i="2"/>
  <c r="E5" i="2"/>
  <c r="Z36" i="2"/>
  <c r="W36" i="2" s="1"/>
  <c r="T36" i="2" s="1"/>
  <c r="Z39" i="2"/>
  <c r="W39" i="2" s="1"/>
  <c r="T39" i="2" s="1"/>
  <c r="I39" i="2"/>
  <c r="I37" i="2"/>
  <c r="O39" i="2"/>
  <c r="V39" i="2" s="1"/>
  <c r="D5" i="2"/>
  <c r="D6" i="2" s="1"/>
  <c r="Z37" i="2"/>
  <c r="W37" i="2" s="1"/>
  <c r="T37" i="2" s="1"/>
  <c r="D41" i="2"/>
  <c r="O40" i="2"/>
  <c r="V40" i="2" s="1"/>
  <c r="S40" i="2" s="1"/>
  <c r="F41" i="2"/>
  <c r="Z40" i="2"/>
  <c r="W40" i="2" s="1"/>
  <c r="T40" i="2" s="1"/>
  <c r="Z38" i="2"/>
  <c r="W38" i="2" s="1"/>
  <c r="T38" i="2" s="1"/>
  <c r="I38" i="2"/>
  <c r="I36" i="2"/>
  <c r="O36" i="2"/>
  <c r="V36" i="2" s="1"/>
  <c r="O38" i="2"/>
  <c r="V38" i="2" s="1"/>
  <c r="O37" i="2"/>
  <c r="V37" i="2" s="1"/>
  <c r="K41" i="2"/>
  <c r="M41" i="2"/>
  <c r="Z17" i="1"/>
  <c r="T19" i="1"/>
  <c r="X19" i="1" s="1"/>
  <c r="T20" i="1"/>
  <c r="X20" i="1" s="1"/>
  <c r="T21" i="1"/>
  <c r="X21" i="1" s="1"/>
  <c r="T22" i="1"/>
  <c r="X22" i="1" s="1"/>
  <c r="AA22" i="1" s="1"/>
  <c r="T18" i="1"/>
  <c r="X18" i="1" s="1"/>
  <c r="V22" i="1"/>
  <c r="S22" i="1"/>
  <c r="W22" i="1" s="1"/>
  <c r="V18" i="1"/>
  <c r="V21" i="1"/>
  <c r="V20" i="1"/>
  <c r="T17" i="1"/>
  <c r="X17" i="1" s="1"/>
  <c r="V19" i="1"/>
  <c r="V17" i="1"/>
  <c r="V23" i="1" s="1"/>
  <c r="C23" i="1"/>
  <c r="E23" i="1"/>
  <c r="M23" i="1"/>
  <c r="K23" i="1"/>
  <c r="D4" i="1"/>
  <c r="D5" i="1" s="1"/>
  <c r="V35" i="2" l="1"/>
  <c r="U35" i="2" s="1"/>
  <c r="S35" i="2"/>
  <c r="I41" i="2"/>
  <c r="U40" i="2"/>
  <c r="U39" i="2"/>
  <c r="R39" i="2" s="1"/>
  <c r="B39" i="2" s="1"/>
  <c r="C6" i="2"/>
  <c r="B6" i="2" s="1"/>
  <c r="S39" i="2"/>
  <c r="D9" i="2"/>
  <c r="S38" i="2"/>
  <c r="U38" i="2"/>
  <c r="R38" i="2" s="1"/>
  <c r="B38" i="2" s="1"/>
  <c r="S36" i="2"/>
  <c r="U36" i="2"/>
  <c r="R36" i="2" s="1"/>
  <c r="B36" i="2" s="1"/>
  <c r="S37" i="2"/>
  <c r="U37" i="2"/>
  <c r="R37" i="2" s="1"/>
  <c r="B37" i="2" s="1"/>
  <c r="Y17" i="1"/>
  <c r="AA17" i="1"/>
  <c r="Y22" i="1"/>
  <c r="AB22" i="1" s="1"/>
  <c r="Z22" i="1"/>
  <c r="Y18" i="1"/>
  <c r="AB18" i="1" s="1"/>
  <c r="AA18" i="1"/>
  <c r="Y21" i="1"/>
  <c r="AB21" i="1" s="1"/>
  <c r="AA21" i="1"/>
  <c r="Y20" i="1"/>
  <c r="AB20" i="1" s="1"/>
  <c r="AA20" i="1"/>
  <c r="Y19" i="1"/>
  <c r="AB19" i="1" s="1"/>
  <c r="AA19" i="1"/>
  <c r="AB17" i="1"/>
  <c r="AB23" i="1" s="1"/>
  <c r="Y23" i="1"/>
  <c r="U41" i="2" l="1"/>
  <c r="R40" i="2"/>
  <c r="B40" i="2" s="1"/>
  <c r="D8" i="2"/>
  <c r="R41" i="2" l="1"/>
  <c r="B35" i="2" l="1"/>
  <c r="B41" i="2" s="1"/>
</calcChain>
</file>

<file path=xl/sharedStrings.xml><?xml version="1.0" encoding="utf-8"?>
<sst xmlns="http://schemas.openxmlformats.org/spreadsheetml/2006/main" count="147" uniqueCount="55">
  <si>
    <t>Sales</t>
  </si>
  <si>
    <t>GCS</t>
  </si>
  <si>
    <t>ACS</t>
  </si>
  <si>
    <t>YoY</t>
  </si>
  <si>
    <t>Contribution</t>
  </si>
  <si>
    <t>Daypart</t>
  </si>
  <si>
    <t>Breakfast</t>
  </si>
  <si>
    <t>Lunch</t>
  </si>
  <si>
    <t>Snack</t>
  </si>
  <si>
    <t>Dinner</t>
  </si>
  <si>
    <t>Evening</t>
  </si>
  <si>
    <t>Late Night</t>
  </si>
  <si>
    <t>Value</t>
  </si>
  <si>
    <t>Share</t>
  </si>
  <si>
    <t>Total</t>
  </si>
  <si>
    <t>ACS (delta)</t>
  </si>
  <si>
    <t>GCS (delta)</t>
  </si>
  <si>
    <t>Mix contrib</t>
  </si>
  <si>
    <t>Customers shift toward/away from breakfast, holding breakfast’s price/ticket fixed at last year’s level.</t>
  </si>
  <si>
    <t>Mix contrib:</t>
  </si>
  <si>
    <t>Interpretation: Breakfast gained traffic share (22% → 25%). Since breakfast has a relatively high ticket ($13.15), that mix shift pushes overall ACS up.</t>
  </si>
  <si>
    <t>Within contrib</t>
  </si>
  <si>
    <t>Keep the new mix (2024 shares), and ask: did breakfast ticket change inside breakfast?</t>
  </si>
  <si>
    <t>Breakfast’s ticket fell slightly (13.15 → 13.13), so within-breakfast changes slightly pull overall ACS down.</t>
  </si>
  <si>
    <t>Total contrib</t>
  </si>
  <si>
    <t>Total contrib PP</t>
  </si>
  <si>
    <t>Mix contrib PP</t>
  </si>
  <si>
    <t>Within contrib PP</t>
  </si>
  <si>
    <t>“Average check increased by 1.33% year over year.
When we decompose that change, X% came from customers shifting across segments, and Y% came from higher ticket within segments.</t>
  </si>
  <si>
    <r>
      <t>GCS</t>
    </r>
    <r>
      <rPr>
        <vertAlign val="superscript"/>
        <sz val="11"/>
        <color theme="1"/>
        <rFont val="Calibri"/>
        <family val="2"/>
        <scheme val="minor"/>
      </rPr>
      <t>1</t>
    </r>
  </si>
  <si>
    <r>
      <t>ACS</t>
    </r>
    <r>
      <rPr>
        <vertAlign val="superscript"/>
        <sz val="11"/>
        <color theme="1"/>
        <rFont val="Calibri"/>
        <family val="2"/>
        <scheme val="minor"/>
      </rPr>
      <t>2</t>
    </r>
  </si>
  <si>
    <r>
      <t>ACS Mix contrib</t>
    </r>
    <r>
      <rPr>
        <vertAlign val="superscript"/>
        <sz val="11"/>
        <color theme="1"/>
        <rFont val="Calibri"/>
        <family val="2"/>
        <scheme val="minor"/>
      </rPr>
      <t>3</t>
    </r>
  </si>
  <si>
    <r>
      <t>ACS Within contrib</t>
    </r>
    <r>
      <rPr>
        <vertAlign val="superscript"/>
        <sz val="11"/>
        <color theme="1"/>
        <rFont val="Calibri"/>
        <family val="2"/>
        <scheme val="minor"/>
      </rPr>
      <t>4</t>
    </r>
  </si>
  <si>
    <t>Contributions came from a combination of steady growth in large, high-share segments and outsized growth in smaller segments, which together lifted overall traffic despite some offsetting declines.</t>
  </si>
  <si>
    <t>This reflects changes in where customers purchased and how much they spent per visit, with the compounding effect between traffic and ticket allocated evenly across the two drivers.</t>
  </si>
  <si>
    <t>³ ACS Mix Contribution ( +3.15pp ) — “Customer shift effect”</t>
  </si>
  <si>
    <t>Customer mix shifts contributed positively to average check growth (+3.15pp), as customers moved toward higher-ticket segments.</t>
  </si>
  <si>
    <t>This effect reflects changes in traffic allocation across segments, holding segment-level prices constant.</t>
  </si>
  <si>
    <t>⁴ ACS Within Contribution ( −1.82pp ) — “Within-segment ticket pressure”</t>
  </si>
  <si>
    <t>Within-segment changes reduced average check growth (−1.82pp), indicating that ticket size declined or remained pressured inside segments.</t>
  </si>
  <si>
    <r>
      <t xml:space="preserve">This offset a portion of the favorable mix impact and suggests </t>
    </r>
    <r>
      <rPr>
        <sz val="11"/>
        <color theme="1"/>
        <rFont val="Calibri"/>
        <family val="2"/>
        <scheme val="minor"/>
      </rPr>
      <t>offsetting dynamics within segments (e.g., pricing, discounting, or product mix changes).</t>
    </r>
  </si>
  <si>
    <t>YoY %</t>
  </si>
  <si>
    <t>YoY (delta)</t>
  </si>
  <si>
    <t>ACS value</t>
  </si>
  <si>
    <t>SALES</t>
  </si>
  <si>
    <t>TOTAL</t>
  </si>
  <si>
    <r>
      <rPr>
        <i/>
        <vertAlign val="superscript"/>
        <sz val="11"/>
        <color theme="1"/>
        <rFont val="Calibri"/>
        <family val="2"/>
        <scheme val="minor"/>
      </rPr>
      <t>2</t>
    </r>
    <r>
      <rPr>
        <i/>
        <sz val="11"/>
        <color theme="1"/>
        <rFont val="Calibri"/>
        <family val="2"/>
        <scheme val="minor"/>
      </rPr>
      <t xml:space="preserve"> ACS Contribution ( +1.34pp ) — “Ticket effect”
Average check growth contributed +1.34pp to sales growth, slightly more than traffic.</t>
    </r>
  </si>
  <si>
    <r>
      <rPr>
        <i/>
        <vertAlign val="superscript"/>
        <sz val="11"/>
        <color theme="1"/>
        <rFont val="Calibri"/>
        <family val="2"/>
        <scheme val="minor"/>
      </rPr>
      <t>1</t>
    </r>
    <r>
      <rPr>
        <i/>
        <sz val="11"/>
        <color theme="1"/>
        <rFont val="Calibri"/>
        <family val="2"/>
        <scheme val="minor"/>
      </rPr>
      <t xml:space="preserve"> GCS contribution (+1.27pp): Traffic Effect. Sales growth was driven in part by higher guest counts (+1.27pp), reflecting broad-based traffic increases.</t>
    </r>
  </si>
  <si>
    <t>1 GCS contribution (pp) = Base-year GCS share × Within-daypart YoY growth</t>
  </si>
  <si>
    <t>Breakfast combined meaningful scale (over one-fifth of traffic) with strong positive growth. Breakfast was a key driver of traffic growth, contributing +3.3pp, supported by strong within-daypart growth on a large base. The rising share in 2024 reinforces that this was not a niche effect; breakfast demand strengthened and became more central to total traffic.</t>
  </si>
  <si>
    <t>Dinner was the largest drag on traffic, contributing −4.6pp, as declines in the largest daypart outweighed gains elsewhere.</t>
  </si>
  <si>
    <t>ACS contribution (pp) = ACS YoY % + ½ × (GCS YoY % × ACS YoY %)</t>
  </si>
  <si>
    <t>ACS mix contribution = Change in GCS share × Base-period segment ACS</t>
  </si>
  <si>
    <t>ACS within contribution = Current-period GCS share × Change in segment ACS</t>
  </si>
  <si>
    <t>ACS contribution = ACS mix contribution + ACS within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</si>
</sst>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  <numFmt numFmtId="167" formatCode="_(&quot;$&quot;* #,##0.000_);_(&quot;$&quot;* \(#,##0.000\);_(&quot;$&quot;* &quot;-&quot;??_);_(@_)"/>
    <numFmt numFmtId="168" formatCode="0.000%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vertAlign val="superscript"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6">
    <xf numFmtId="0" fontId="0" fillId="0" borderId="0" xfId="0"/>
    <xf numFmtId="9" fontId="0" fillId="0" borderId="0" xfId="3" applyFont="1"/>
    <xf numFmtId="10" fontId="0" fillId="0" borderId="0" xfId="3" applyNumberFormat="1" applyFont="1"/>
    <xf numFmtId="44" fontId="0" fillId="0" borderId="0" xfId="2" applyFont="1"/>
    <xf numFmtId="165" fontId="0" fillId="0" borderId="0" xfId="2" applyNumberFormat="1" applyFont="1"/>
    <xf numFmtId="166" fontId="0" fillId="0" borderId="0" xfId="1" applyNumberFormat="1" applyFont="1"/>
    <xf numFmtId="44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165" fontId="0" fillId="0" borderId="3" xfId="0" applyNumberFormat="1" applyBorder="1"/>
    <xf numFmtId="164" fontId="0" fillId="0" borderId="4" xfId="3" applyNumberFormat="1" applyFont="1" applyBorder="1"/>
    <xf numFmtId="165" fontId="0" fillId="0" borderId="5" xfId="0" applyNumberFormat="1" applyBorder="1"/>
    <xf numFmtId="164" fontId="0" fillId="0" borderId="6" xfId="3" applyNumberFormat="1" applyFont="1" applyBorder="1"/>
    <xf numFmtId="166" fontId="0" fillId="0" borderId="3" xfId="0" applyNumberFormat="1" applyBorder="1"/>
    <xf numFmtId="166" fontId="0" fillId="0" borderId="5" xfId="0" applyNumberFormat="1" applyBorder="1"/>
    <xf numFmtId="44" fontId="0" fillId="0" borderId="3" xfId="2" applyFont="1" applyBorder="1"/>
    <xf numFmtId="44" fontId="0" fillId="0" borderId="5" xfId="2" applyFont="1" applyBorder="1"/>
    <xf numFmtId="0" fontId="0" fillId="0" borderId="6" xfId="0" applyBorder="1"/>
    <xf numFmtId="0" fontId="2" fillId="0" borderId="0" xfId="0" applyFont="1"/>
    <xf numFmtId="165" fontId="2" fillId="0" borderId="0" xfId="0" applyNumberFormat="1" applyFont="1"/>
    <xf numFmtId="9" fontId="2" fillId="0" borderId="0" xfId="3" applyFont="1"/>
    <xf numFmtId="0" fontId="0" fillId="0" borderId="7" xfId="0" applyBorder="1" applyAlignment="1">
      <alignment horizontal="center"/>
    </xf>
    <xf numFmtId="164" fontId="0" fillId="0" borderId="0" xfId="3" applyNumberFormat="1" applyFont="1" applyBorder="1"/>
    <xf numFmtId="0" fontId="0" fillId="0" borderId="5" xfId="0" applyBorder="1"/>
    <xf numFmtId="164" fontId="0" fillId="0" borderId="8" xfId="3" applyNumberFormat="1" applyFont="1" applyBorder="1"/>
    <xf numFmtId="0" fontId="0" fillId="0" borderId="0" xfId="0" applyAlignment="1">
      <alignment horizontal="center"/>
    </xf>
    <xf numFmtId="10" fontId="2" fillId="0" borderId="0" xfId="3" applyNumberFormat="1" applyFont="1"/>
    <xf numFmtId="168" fontId="0" fillId="0" borderId="0" xfId="3" applyNumberFormat="1" applyFont="1"/>
    <xf numFmtId="44" fontId="0" fillId="0" borderId="4" xfId="0" applyNumberFormat="1" applyBorder="1"/>
    <xf numFmtId="43" fontId="0" fillId="0" borderId="0" xfId="1" applyFont="1" applyBorder="1"/>
    <xf numFmtId="167" fontId="0" fillId="0" borderId="0" xfId="0" applyNumberFormat="1"/>
    <xf numFmtId="44" fontId="2" fillId="0" borderId="0" xfId="0" applyNumberFormat="1" applyFont="1"/>
    <xf numFmtId="44" fontId="0" fillId="0" borderId="8" xfId="0" applyNumberFormat="1" applyBorder="1"/>
    <xf numFmtId="167" fontId="0" fillId="0" borderId="8" xfId="0" applyNumberFormat="1" applyBorder="1"/>
    <xf numFmtId="44" fontId="0" fillId="0" borderId="3" xfId="0" applyNumberFormat="1" applyBorder="1"/>
    <xf numFmtId="44" fontId="0" fillId="0" borderId="5" xfId="0" applyNumberFormat="1" applyBorder="1"/>
    <xf numFmtId="0" fontId="0" fillId="0" borderId="9" xfId="0" applyBorder="1"/>
    <xf numFmtId="0" fontId="0" fillId="0" borderId="10" xfId="0" applyBorder="1"/>
    <xf numFmtId="0" fontId="2" fillId="0" borderId="10" xfId="0" applyFont="1" applyBorder="1"/>
    <xf numFmtId="164" fontId="2" fillId="0" borderId="10" xfId="3" applyNumberFormat="1" applyFont="1" applyBorder="1"/>
    <xf numFmtId="164" fontId="2" fillId="0" borderId="11" xfId="3" applyNumberFormat="1" applyFont="1" applyBorder="1"/>
    <xf numFmtId="164" fontId="2" fillId="0" borderId="4" xfId="0" applyNumberFormat="1" applyFont="1" applyBorder="1"/>
    <xf numFmtId="164" fontId="2" fillId="0" borderId="6" xfId="0" applyNumberFormat="1" applyFont="1" applyBorder="1"/>
    <xf numFmtId="0" fontId="2" fillId="0" borderId="4" xfId="0" applyFont="1" applyBorder="1"/>
    <xf numFmtId="43" fontId="0" fillId="0" borderId="8" xfId="1" applyFont="1" applyBorder="1"/>
    <xf numFmtId="44" fontId="0" fillId="0" borderId="6" xfId="0" applyNumberFormat="1" applyBorder="1"/>
    <xf numFmtId="164" fontId="0" fillId="0" borderId="0" xfId="1" applyNumberFormat="1" applyFont="1" applyBorder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10" fontId="2" fillId="2" borderId="15" xfId="3" applyNumberFormat="1" applyFont="1" applyFill="1" applyBorder="1"/>
    <xf numFmtId="10" fontId="2" fillId="3" borderId="16" xfId="3" applyNumberFormat="1" applyFont="1" applyFill="1" applyBorder="1"/>
    <xf numFmtId="0" fontId="2" fillId="0" borderId="15" xfId="0" applyFont="1" applyBorder="1"/>
    <xf numFmtId="10" fontId="2" fillId="0" borderId="17" xfId="0" applyNumberFormat="1" applyFont="1" applyBorder="1"/>
    <xf numFmtId="0" fontId="0" fillId="0" borderId="0" xfId="0" applyFill="1"/>
    <xf numFmtId="168" fontId="0" fillId="0" borderId="0" xfId="3" applyNumberFormat="1" applyFont="1" applyFill="1"/>
    <xf numFmtId="10" fontId="0" fillId="0" borderId="0" xfId="3" applyNumberFormat="1" applyFont="1" applyFill="1"/>
    <xf numFmtId="0" fontId="4" fillId="0" borderId="0" xfId="0" applyFont="1" applyFill="1" applyAlignment="1"/>
    <xf numFmtId="0" fontId="4" fillId="0" borderId="0" xfId="0" applyFont="1"/>
    <xf numFmtId="0" fontId="4" fillId="0" borderId="0" xfId="0" applyFont="1" applyAlignment="1"/>
    <xf numFmtId="0" fontId="5" fillId="0" borderId="0" xfId="0" applyFont="1"/>
    <xf numFmtId="0" fontId="0" fillId="0" borderId="0" xfId="0" applyBorder="1" applyAlignment="1">
      <alignment horizontal="center"/>
    </xf>
    <xf numFmtId="0" fontId="0" fillId="0" borderId="0" xfId="0" applyBorder="1"/>
    <xf numFmtId="9" fontId="0" fillId="0" borderId="0" xfId="3" applyFont="1" applyBorder="1"/>
    <xf numFmtId="0" fontId="0" fillId="0" borderId="0" xfId="0" applyBorder="1" applyAlignment="1"/>
    <xf numFmtId="0" fontId="0" fillId="0" borderId="18" xfId="0" applyBorder="1"/>
    <xf numFmtId="0" fontId="0" fillId="0" borderId="19" xfId="0" applyBorder="1"/>
    <xf numFmtId="168" fontId="0" fillId="0" borderId="19" xfId="3" applyNumberFormat="1" applyFont="1" applyBorder="1"/>
    <xf numFmtId="10" fontId="0" fillId="3" borderId="20" xfId="3" applyNumberFormat="1" applyFont="1" applyFill="1" applyBorder="1"/>
    <xf numFmtId="0" fontId="0" fillId="0" borderId="21" xfId="0" applyBorder="1"/>
    <xf numFmtId="0" fontId="0" fillId="0" borderId="22" xfId="0" applyBorder="1"/>
    <xf numFmtId="168" fontId="0" fillId="0" borderId="22" xfId="3" applyNumberFormat="1" applyFont="1" applyBorder="1"/>
    <xf numFmtId="10" fontId="0" fillId="3" borderId="23" xfId="3" applyNumberFormat="1" applyFont="1" applyFill="1" applyBorder="1"/>
    <xf numFmtId="0" fontId="2" fillId="0" borderId="0" xfId="0" applyFont="1" applyBorder="1"/>
    <xf numFmtId="165" fontId="0" fillId="0" borderId="0" xfId="0" applyNumberFormat="1" applyBorder="1"/>
    <xf numFmtId="10" fontId="2" fillId="0" borderId="0" xfId="3" applyNumberFormat="1" applyFont="1" applyBorder="1"/>
    <xf numFmtId="165" fontId="2" fillId="0" borderId="0" xfId="0" applyNumberFormat="1" applyFont="1" applyBorder="1"/>
    <xf numFmtId="9" fontId="2" fillId="0" borderId="0" xfId="3" applyFont="1" applyBorder="1"/>
    <xf numFmtId="0" fontId="2" fillId="0" borderId="24" xfId="0" applyFont="1" applyBorder="1"/>
    <xf numFmtId="0" fontId="0" fillId="0" borderId="25" xfId="0" applyBorder="1"/>
    <xf numFmtId="0" fontId="0" fillId="0" borderId="26" xfId="0" applyBorder="1"/>
    <xf numFmtId="0" fontId="2" fillId="0" borderId="18" xfId="0" applyFont="1" applyBorder="1"/>
    <xf numFmtId="0" fontId="0" fillId="0" borderId="27" xfId="0" applyBorder="1"/>
    <xf numFmtId="0" fontId="0" fillId="0" borderId="27" xfId="0" applyBorder="1" applyAlignment="1">
      <alignment horizontal="left"/>
    </xf>
    <xf numFmtId="164" fontId="2" fillId="0" borderId="27" xfId="0" applyNumberFormat="1" applyFont="1" applyBorder="1"/>
    <xf numFmtId="164" fontId="2" fillId="0" borderId="21" xfId="0" applyNumberFormat="1" applyFont="1" applyBorder="1"/>
    <xf numFmtId="0" fontId="0" fillId="0" borderId="28" xfId="0" applyBorder="1"/>
    <xf numFmtId="165" fontId="0" fillId="0" borderId="27" xfId="0" applyNumberFormat="1" applyBorder="1"/>
    <xf numFmtId="164" fontId="0" fillId="0" borderId="28" xfId="3" applyNumberFormat="1" applyFont="1" applyBorder="1"/>
    <xf numFmtId="165" fontId="0" fillId="0" borderId="21" xfId="0" applyNumberFormat="1" applyBorder="1"/>
    <xf numFmtId="165" fontId="0" fillId="0" borderId="22" xfId="0" applyNumberFormat="1" applyBorder="1"/>
    <xf numFmtId="164" fontId="0" fillId="0" borderId="23" xfId="3" applyNumberFormat="1" applyFont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0" xfId="0" applyBorder="1" applyAlignment="1">
      <alignment horizontal="center"/>
    </xf>
    <xf numFmtId="164" fontId="2" fillId="0" borderId="25" xfId="3" applyNumberFormat="1" applyFont="1" applyBorder="1"/>
    <xf numFmtId="164" fontId="2" fillId="0" borderId="26" xfId="3" applyNumberFormat="1" applyFont="1" applyBorder="1"/>
    <xf numFmtId="164" fontId="2" fillId="0" borderId="27" xfId="3" applyNumberFormat="1" applyFont="1" applyBorder="1"/>
    <xf numFmtId="164" fontId="2" fillId="0" borderId="21" xfId="3" applyNumberFormat="1" applyFont="1" applyBorder="1"/>
    <xf numFmtId="166" fontId="0" fillId="0" borderId="27" xfId="0" applyNumberFormat="1" applyBorder="1"/>
    <xf numFmtId="166" fontId="0" fillId="0" borderId="21" xfId="0" applyNumberFormat="1" applyBorder="1"/>
    <xf numFmtId="164" fontId="0" fillId="0" borderId="27" xfId="3" applyNumberFormat="1" applyFont="1" applyBorder="1"/>
    <xf numFmtId="9" fontId="0" fillId="0" borderId="28" xfId="3" applyFont="1" applyBorder="1"/>
    <xf numFmtId="164" fontId="0" fillId="0" borderId="21" xfId="3" applyNumberFormat="1" applyFont="1" applyBorder="1"/>
    <xf numFmtId="9" fontId="0" fillId="0" borderId="23" xfId="3" applyFont="1" applyBorder="1"/>
    <xf numFmtId="44" fontId="0" fillId="0" borderId="0" xfId="0" applyNumberFormat="1" applyBorder="1"/>
    <xf numFmtId="167" fontId="0" fillId="0" borderId="0" xfId="0" applyNumberFormat="1" applyBorder="1"/>
    <xf numFmtId="44" fontId="2" fillId="0" borderId="0" xfId="0" applyNumberFormat="1" applyFont="1" applyBorder="1"/>
    <xf numFmtId="44" fontId="0" fillId="0" borderId="0" xfId="2" applyFont="1" applyBorder="1"/>
    <xf numFmtId="0" fontId="2" fillId="0" borderId="24" xfId="0" applyFont="1" applyBorder="1" applyAlignment="1">
      <alignment horizontal="left"/>
    </xf>
    <xf numFmtId="44" fontId="0" fillId="0" borderId="27" xfId="0" applyNumberFormat="1" applyBorder="1"/>
    <xf numFmtId="44" fontId="0" fillId="0" borderId="21" xfId="0" applyNumberFormat="1" applyBorder="1"/>
    <xf numFmtId="44" fontId="0" fillId="0" borderId="22" xfId="0" applyNumberFormat="1" applyBorder="1"/>
    <xf numFmtId="167" fontId="0" fillId="0" borderId="22" xfId="0" applyNumberFormat="1" applyBorder="1"/>
    <xf numFmtId="44" fontId="0" fillId="0" borderId="27" xfId="2" applyFont="1" applyBorder="1"/>
    <xf numFmtId="44" fontId="0" fillId="0" borderId="28" xfId="0" applyNumberFormat="1" applyBorder="1"/>
    <xf numFmtId="44" fontId="0" fillId="0" borderId="21" xfId="2" applyFont="1" applyBorder="1"/>
    <xf numFmtId="44" fontId="0" fillId="0" borderId="22" xfId="2" applyFont="1" applyBorder="1"/>
    <xf numFmtId="44" fontId="0" fillId="0" borderId="23" xfId="0" applyNumberFormat="1" applyBorder="1"/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Fill="1" applyBorder="1"/>
    <xf numFmtId="0" fontId="4" fillId="0" borderId="0" xfId="0" applyFont="1" applyFill="1" applyBorder="1"/>
    <xf numFmtId="168" fontId="0" fillId="0" borderId="0" xfId="3" applyNumberFormat="1" applyFont="1" applyFill="1" applyBorder="1"/>
    <xf numFmtId="10" fontId="0" fillId="0" borderId="0" xfId="3" applyNumberFormat="1" applyFont="1" applyFill="1" applyBorder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1B6B0-472D-4B50-B71D-101D956C8614}">
  <dimension ref="A1:AD52"/>
  <sheetViews>
    <sheetView tabSelected="1" workbookViewId="0">
      <selection activeCell="F13" sqref="F13"/>
    </sheetView>
  </sheetViews>
  <sheetFormatPr defaultRowHeight="14.5" x14ac:dyDescent="0.35"/>
  <cols>
    <col min="1" max="1" width="11.6328125" customWidth="1"/>
    <col min="2" max="2" width="14.7265625" customWidth="1"/>
    <col min="3" max="6" width="12.1796875" customWidth="1"/>
    <col min="8" max="8" width="11.54296875" customWidth="1"/>
    <col min="9" max="9" width="14.90625" customWidth="1"/>
    <col min="10" max="10" width="8.7265625" customWidth="1"/>
    <col min="11" max="11" width="8.6328125" customWidth="1"/>
    <col min="12" max="12" width="9.81640625" customWidth="1"/>
    <col min="13" max="13" width="8.26953125" customWidth="1"/>
    <col min="15" max="15" width="11.08984375" customWidth="1"/>
    <col min="16" max="16" width="11.7265625" customWidth="1"/>
    <col min="17" max="17" width="9.54296875" bestFit="1" customWidth="1"/>
    <col min="18" max="18" width="14.26953125" bestFit="1" customWidth="1"/>
    <col min="19" max="19" width="13.1796875" customWidth="1"/>
    <col min="20" max="20" width="15.81640625" bestFit="1" customWidth="1"/>
    <col min="21" max="21" width="11.54296875" bestFit="1" customWidth="1"/>
    <col min="22" max="22" width="13.1796875" bestFit="1" customWidth="1"/>
    <col min="23" max="23" width="15.81640625" bestFit="1" customWidth="1"/>
    <col min="24" max="26" width="14.26953125" customWidth="1"/>
    <col min="27" max="27" width="17.54296875" customWidth="1"/>
    <col min="29" max="29" width="9.6328125" bestFit="1" customWidth="1"/>
    <col min="30" max="30" width="10.36328125" bestFit="1" customWidth="1"/>
    <col min="31" max="31" width="13.1796875" bestFit="1" customWidth="1"/>
    <col min="32" max="32" width="6.36328125" customWidth="1"/>
    <col min="33" max="33" width="11.7265625" customWidth="1"/>
    <col min="34" max="34" width="10.453125" bestFit="1" customWidth="1"/>
    <col min="35" max="35" width="13.1796875" bestFit="1" customWidth="1"/>
    <col min="36" max="36" width="11.54296875" bestFit="1" customWidth="1"/>
    <col min="37" max="37" width="13.1796875" bestFit="1" customWidth="1"/>
    <col min="38" max="38" width="15.81640625" bestFit="1" customWidth="1"/>
    <col min="39" max="39" width="14.26953125" bestFit="1" customWidth="1"/>
  </cols>
  <sheetData>
    <row r="1" spans="1:5" ht="21" x14ac:dyDescent="0.5">
      <c r="A1" s="68" t="s">
        <v>45</v>
      </c>
    </row>
    <row r="2" spans="1:5" ht="16.5" x14ac:dyDescent="0.35">
      <c r="B2" t="s">
        <v>0</v>
      </c>
      <c r="C2" t="s">
        <v>29</v>
      </c>
      <c r="D2" t="s">
        <v>30</v>
      </c>
      <c r="E2" t="s">
        <v>15</v>
      </c>
    </row>
    <row r="3" spans="1:5" x14ac:dyDescent="0.35">
      <c r="A3">
        <v>2023</v>
      </c>
      <c r="B3" s="4">
        <v>481513</v>
      </c>
      <c r="C3" s="5">
        <v>41613</v>
      </c>
      <c r="D3" s="3">
        <f>B3/C3</f>
        <v>11.571215725854902</v>
      </c>
    </row>
    <row r="4" spans="1:5" x14ac:dyDescent="0.35">
      <c r="A4">
        <v>2024</v>
      </c>
      <c r="B4" s="4">
        <v>494078</v>
      </c>
      <c r="C4" s="5">
        <v>42138</v>
      </c>
      <c r="D4" s="3">
        <f>B4/C4</f>
        <v>11.725236128909772</v>
      </c>
    </row>
    <row r="5" spans="1:5" ht="15" thickBot="1" x14ac:dyDescent="0.4">
      <c r="A5" t="s">
        <v>3</v>
      </c>
      <c r="B5" s="2">
        <f>B4/B3-1</f>
        <v>2.6094830253804213E-2</v>
      </c>
      <c r="C5" s="2">
        <f t="shared" ref="C5:D5" si="0">C4/C3-1</f>
        <v>1.2616249729651807E-2</v>
      </c>
      <c r="D5" s="2">
        <f t="shared" si="0"/>
        <v>1.3310650039193739E-2</v>
      </c>
      <c r="E5" s="6">
        <f>D4-D3</f>
        <v>0.15402040305487041</v>
      </c>
    </row>
    <row r="6" spans="1:5" ht="15" thickBot="1" x14ac:dyDescent="0.4">
      <c r="A6" s="60" t="s">
        <v>4</v>
      </c>
      <c r="B6" s="61">
        <f>SUM(C6:D6)</f>
        <v>2.6094830253804015E-2</v>
      </c>
      <c r="C6" s="58">
        <f>C5+0.5*(C5*D5)</f>
        <v>1.2700214972131042E-2</v>
      </c>
      <c r="D6" s="59">
        <f>D5+0.5*(D5*C5)</f>
        <v>1.3394615281672973E-2</v>
      </c>
    </row>
    <row r="7" spans="1:5" ht="15" thickBot="1" x14ac:dyDescent="0.4">
      <c r="C7" s="29"/>
      <c r="D7" s="2"/>
    </row>
    <row r="8" spans="1:5" ht="16.5" x14ac:dyDescent="0.35">
      <c r="A8" s="73" t="s">
        <v>31</v>
      </c>
      <c r="B8" s="74"/>
      <c r="C8" s="75"/>
      <c r="D8" s="76">
        <f>SUM(S35:S40)</f>
        <v>3.1511544011544004E-2</v>
      </c>
    </row>
    <row r="9" spans="1:5" ht="17" thickBot="1" x14ac:dyDescent="0.4">
      <c r="A9" s="77" t="s">
        <v>32</v>
      </c>
      <c r="B9" s="78"/>
      <c r="C9" s="79"/>
      <c r="D9" s="80">
        <f>SUM(T35:T40)</f>
        <v>-1.8200893972350109E-2</v>
      </c>
    </row>
    <row r="10" spans="1:5" s="62" customFormat="1" x14ac:dyDescent="0.35">
      <c r="A10" s="132"/>
      <c r="B10" s="132"/>
      <c r="C10" s="134"/>
      <c r="D10" s="135"/>
    </row>
    <row r="11" spans="1:5" s="62" customFormat="1" x14ac:dyDescent="0.35">
      <c r="A11" s="133" t="s">
        <v>48</v>
      </c>
      <c r="C11" s="63"/>
      <c r="D11" s="64"/>
    </row>
    <row r="12" spans="1:5" s="62" customFormat="1" x14ac:dyDescent="0.35">
      <c r="A12" s="133" t="s">
        <v>51</v>
      </c>
      <c r="C12" s="63"/>
      <c r="D12" s="64"/>
    </row>
    <row r="13" spans="1:5" s="62" customFormat="1" x14ac:dyDescent="0.35">
      <c r="A13" s="133" t="s">
        <v>54</v>
      </c>
      <c r="C13" s="63"/>
      <c r="D13" s="64"/>
    </row>
    <row r="14" spans="1:5" s="62" customFormat="1" x14ac:dyDescent="0.35">
      <c r="A14" s="133" t="s">
        <v>52</v>
      </c>
      <c r="C14" s="63"/>
      <c r="D14" s="64"/>
    </row>
    <row r="15" spans="1:5" s="62" customFormat="1" x14ac:dyDescent="0.35">
      <c r="A15" s="133" t="s">
        <v>53</v>
      </c>
      <c r="C15" s="63"/>
      <c r="D15" s="64"/>
    </row>
    <row r="16" spans="1:5" s="62" customFormat="1" x14ac:dyDescent="0.35">
      <c r="A16" s="133"/>
      <c r="C16" s="63"/>
      <c r="D16" s="64"/>
    </row>
    <row r="17" spans="1:27" s="62" customFormat="1" x14ac:dyDescent="0.35">
      <c r="A17" s="133"/>
      <c r="C17" s="63"/>
      <c r="D17" s="64"/>
    </row>
    <row r="18" spans="1:27" s="62" customFormat="1" ht="14.5" customHeight="1" x14ac:dyDescent="0.35">
      <c r="A18" s="65" t="s">
        <v>47</v>
      </c>
      <c r="C18" s="63"/>
      <c r="D18" s="64"/>
    </row>
    <row r="19" spans="1:27" x14ac:dyDescent="0.35">
      <c r="A19" s="66" t="s">
        <v>33</v>
      </c>
      <c r="C19" s="29"/>
      <c r="D19" s="2"/>
    </row>
    <row r="20" spans="1:27" ht="16.5" x14ac:dyDescent="0.35">
      <c r="A20" s="67" t="s">
        <v>46</v>
      </c>
      <c r="C20" s="29"/>
      <c r="D20" s="2"/>
    </row>
    <row r="21" spans="1:27" x14ac:dyDescent="0.35">
      <c r="A21" s="66" t="s">
        <v>34</v>
      </c>
      <c r="C21" s="29"/>
      <c r="D21" s="2"/>
    </row>
    <row r="22" spans="1:27" x14ac:dyDescent="0.35">
      <c r="A22" s="66" t="s">
        <v>35</v>
      </c>
      <c r="C22" s="29"/>
      <c r="D22" s="2"/>
    </row>
    <row r="23" spans="1:27" x14ac:dyDescent="0.35">
      <c r="A23" t="s">
        <v>36</v>
      </c>
      <c r="C23" s="29"/>
      <c r="D23" s="2"/>
    </row>
    <row r="24" spans="1:27" x14ac:dyDescent="0.35">
      <c r="A24" t="s">
        <v>37</v>
      </c>
      <c r="C24" s="29"/>
      <c r="D24" s="2"/>
    </row>
    <row r="25" spans="1:27" x14ac:dyDescent="0.35">
      <c r="A25" s="66" t="s">
        <v>38</v>
      </c>
      <c r="C25" s="29"/>
      <c r="D25" s="2"/>
    </row>
    <row r="26" spans="1:27" x14ac:dyDescent="0.35">
      <c r="A26" t="s">
        <v>39</v>
      </c>
      <c r="C26" s="1"/>
    </row>
    <row r="27" spans="1:27" x14ac:dyDescent="0.35">
      <c r="A27" s="66" t="s">
        <v>40</v>
      </c>
      <c r="C27" s="1"/>
    </row>
    <row r="28" spans="1:27" x14ac:dyDescent="0.35">
      <c r="A28" s="66"/>
      <c r="C28" s="1"/>
    </row>
    <row r="29" spans="1:27" x14ac:dyDescent="0.35">
      <c r="J29" s="1"/>
    </row>
    <row r="30" spans="1:27" ht="21" x14ac:dyDescent="0.5">
      <c r="A30" s="68" t="s">
        <v>44</v>
      </c>
      <c r="H30" s="68" t="s">
        <v>1</v>
      </c>
      <c r="J30" s="1"/>
      <c r="Q30" s="68" t="s">
        <v>2</v>
      </c>
    </row>
    <row r="31" spans="1:27" ht="15" thickBot="1" x14ac:dyDescent="0.4"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</row>
    <row r="32" spans="1:27" ht="15" thickBot="1" x14ac:dyDescent="0.4">
      <c r="A32" s="70"/>
      <c r="B32" s="70"/>
      <c r="C32" s="102">
        <v>2023</v>
      </c>
      <c r="D32" s="105"/>
      <c r="E32" s="103">
        <v>2024</v>
      </c>
      <c r="F32" s="105"/>
      <c r="I32" s="72"/>
      <c r="J32" s="102">
        <v>2023</v>
      </c>
      <c r="K32" s="105"/>
      <c r="L32" s="102">
        <v>2024</v>
      </c>
      <c r="M32" s="105"/>
      <c r="N32" s="102" t="s">
        <v>3</v>
      </c>
      <c r="O32" s="105"/>
      <c r="P32" s="72"/>
      <c r="Q32" s="70"/>
      <c r="R32" s="72"/>
      <c r="S32" s="72"/>
      <c r="T32" s="72"/>
      <c r="U32" s="72"/>
      <c r="V32" s="72"/>
      <c r="W32" s="72"/>
      <c r="X32" s="72"/>
      <c r="Y32" s="72"/>
      <c r="Z32" s="70"/>
      <c r="AA32" s="70"/>
    </row>
    <row r="33" spans="1:30" ht="15" thickBot="1" x14ac:dyDescent="0.4">
      <c r="A33" s="70"/>
      <c r="B33" s="89" t="s">
        <v>25</v>
      </c>
      <c r="C33" s="90" t="s">
        <v>12</v>
      </c>
      <c r="D33" s="94" t="s">
        <v>13</v>
      </c>
      <c r="E33" s="70" t="s">
        <v>12</v>
      </c>
      <c r="F33" s="94" t="s">
        <v>13</v>
      </c>
      <c r="I33" s="89" t="s">
        <v>25</v>
      </c>
      <c r="J33" s="90" t="s">
        <v>12</v>
      </c>
      <c r="K33" s="94" t="s">
        <v>13</v>
      </c>
      <c r="L33" s="90" t="s">
        <v>12</v>
      </c>
      <c r="M33" s="94" t="s">
        <v>13</v>
      </c>
      <c r="N33" s="90" t="s">
        <v>41</v>
      </c>
      <c r="O33" s="94" t="s">
        <v>42</v>
      </c>
      <c r="Q33" s="70"/>
      <c r="R33" s="120" t="s">
        <v>25</v>
      </c>
      <c r="S33" s="100" t="s">
        <v>26</v>
      </c>
      <c r="T33" s="104" t="s">
        <v>27</v>
      </c>
      <c r="U33" s="100" t="s">
        <v>24</v>
      </c>
      <c r="V33" s="101" t="s">
        <v>17</v>
      </c>
      <c r="W33" s="101" t="s">
        <v>21</v>
      </c>
      <c r="X33" s="102" t="s">
        <v>43</v>
      </c>
      <c r="Y33" s="103"/>
      <c r="Z33" s="105"/>
      <c r="AA33" s="70"/>
    </row>
    <row r="34" spans="1:30" x14ac:dyDescent="0.35">
      <c r="A34" s="89" t="s">
        <v>5</v>
      </c>
      <c r="B34" s="91"/>
      <c r="C34" s="90"/>
      <c r="D34" s="94"/>
      <c r="E34" s="70"/>
      <c r="F34" s="94"/>
      <c r="H34" s="89" t="s">
        <v>5</v>
      </c>
      <c r="I34" s="90"/>
      <c r="J34" s="90"/>
      <c r="K34" s="94"/>
      <c r="L34" s="90"/>
      <c r="M34" s="94"/>
      <c r="N34" s="90"/>
      <c r="O34" s="94"/>
      <c r="Q34" s="86" t="s">
        <v>5</v>
      </c>
      <c r="R34" s="120"/>
      <c r="S34" s="100"/>
      <c r="T34" s="104"/>
      <c r="U34" s="100"/>
      <c r="V34" s="101"/>
      <c r="W34" s="101"/>
      <c r="X34" s="130">
        <v>2023</v>
      </c>
      <c r="Y34" s="69">
        <v>2024</v>
      </c>
      <c r="Z34" s="131" t="s">
        <v>15</v>
      </c>
      <c r="AA34" s="70"/>
    </row>
    <row r="35" spans="1:30" x14ac:dyDescent="0.35">
      <c r="A35" s="90" t="s">
        <v>6</v>
      </c>
      <c r="B35" s="92">
        <f>I35+R35</f>
        <v>6.6881044443387189E-2</v>
      </c>
      <c r="C35" s="95">
        <v>120378.25</v>
      </c>
      <c r="D35" s="96">
        <f>C35/$B$3</f>
        <v>0.25</v>
      </c>
      <c r="E35" s="82">
        <v>138341.84</v>
      </c>
      <c r="F35" s="96">
        <f>E35/$B$4</f>
        <v>0.27999999999999997</v>
      </c>
      <c r="H35" s="90" t="s">
        <v>6</v>
      </c>
      <c r="I35" s="108">
        <f>K35*N35</f>
        <v>3.3154062432412909E-2</v>
      </c>
      <c r="J35" s="110">
        <v>9154.86</v>
      </c>
      <c r="K35" s="96">
        <f>J35/$C$3</f>
        <v>0.22</v>
      </c>
      <c r="L35" s="110">
        <v>10534.5</v>
      </c>
      <c r="M35" s="96">
        <f>L35/$C$4</f>
        <v>0.25</v>
      </c>
      <c r="N35" s="112">
        <f>L35/J35-1</f>
        <v>0.15070028378369504</v>
      </c>
      <c r="O35" s="113">
        <f>M35-K35</f>
        <v>0.03</v>
      </c>
      <c r="P35" s="71"/>
      <c r="Q35" s="87" t="s">
        <v>6</v>
      </c>
      <c r="R35" s="106">
        <f>U35/$D$3</f>
        <v>3.3726982010974287E-2</v>
      </c>
      <c r="S35" s="112">
        <f>V35/$D$3</f>
        <v>3.4090909090909081E-2</v>
      </c>
      <c r="T35" s="96">
        <f>W35/$D$3</f>
        <v>-3.639270799347937E-4</v>
      </c>
      <c r="U35" s="121">
        <f>SUM(V35:W35)</f>
        <v>0.39026218463101109</v>
      </c>
      <c r="V35" s="116">
        <f>O35*X35</f>
        <v>0.39447326338141703</v>
      </c>
      <c r="W35" s="117">
        <f>M35*Z35</f>
        <v>-4.2110787504059388E-3</v>
      </c>
      <c r="X35" s="125">
        <f>C35/J35</f>
        <v>13.149108779380569</v>
      </c>
      <c r="Y35" s="119">
        <f>E35/L35</f>
        <v>13.132264464378945</v>
      </c>
      <c r="Z35" s="126">
        <f>Y35-X35</f>
        <v>-1.6844315001623755E-2</v>
      </c>
      <c r="AA35" s="70"/>
    </row>
    <row r="36" spans="1:30" x14ac:dyDescent="0.35">
      <c r="A36" s="90" t="s">
        <v>7</v>
      </c>
      <c r="B36" s="92">
        <f>I36+R36</f>
        <v>6.6628719448794199E-2</v>
      </c>
      <c r="C36" s="95">
        <v>120378.25</v>
      </c>
      <c r="D36" s="96">
        <f>C36/$B$3</f>
        <v>0.25</v>
      </c>
      <c r="E36" s="82">
        <v>138341.84000000003</v>
      </c>
      <c r="F36" s="96">
        <f>E36/$B$4</f>
        <v>0.28000000000000003</v>
      </c>
      <c r="H36" s="90" t="s">
        <v>7</v>
      </c>
      <c r="I36" s="108">
        <f>K36*N36</f>
        <v>3.2901737437819899E-2</v>
      </c>
      <c r="J36" s="110">
        <v>8322.6</v>
      </c>
      <c r="K36" s="96">
        <f>J36/$C$3</f>
        <v>0.2</v>
      </c>
      <c r="L36" s="110">
        <v>9691.74</v>
      </c>
      <c r="M36" s="96">
        <f>L36/$C$4</f>
        <v>0.22999999999999998</v>
      </c>
      <c r="N36" s="112">
        <f>L36/J36-1</f>
        <v>0.1645086871890995</v>
      </c>
      <c r="O36" s="113">
        <f>M36-K36</f>
        <v>2.9999999999999971E-2</v>
      </c>
      <c r="P36" s="71"/>
      <c r="Q36" s="87" t="s">
        <v>7</v>
      </c>
      <c r="R36" s="106">
        <f>U36/$D$3</f>
        <v>3.3726982010974307E-2</v>
      </c>
      <c r="S36" s="112">
        <f>V36/$D$3</f>
        <v>3.7499999999999964E-2</v>
      </c>
      <c r="T36" s="96">
        <f>W36/$D$3</f>
        <v>-3.7730179890256578E-3</v>
      </c>
      <c r="U36" s="121">
        <f>SUM(V36:W36)</f>
        <v>0.39026218463101126</v>
      </c>
      <c r="V36" s="116">
        <f>O36*X36</f>
        <v>0.43392058971955838</v>
      </c>
      <c r="W36" s="117">
        <f>M36*Z36</f>
        <v>-4.3658405088547132E-2</v>
      </c>
      <c r="X36" s="125">
        <f>C36/J36</f>
        <v>14.464019657318627</v>
      </c>
      <c r="Y36" s="119">
        <f>E36/L36</f>
        <v>14.274200504759726</v>
      </c>
      <c r="Z36" s="126">
        <f>Y36-X36</f>
        <v>-0.18981915255890058</v>
      </c>
      <c r="AA36" s="70"/>
    </row>
    <row r="37" spans="1:30" x14ac:dyDescent="0.35">
      <c r="A37" s="90" t="s">
        <v>8</v>
      </c>
      <c r="B37" s="92">
        <f>I37+R37</f>
        <v>-3.9096030509638099E-2</v>
      </c>
      <c r="C37" s="95">
        <v>24075.65</v>
      </c>
      <c r="D37" s="96">
        <f>C37/$B$3</f>
        <v>0.05</v>
      </c>
      <c r="E37" s="82">
        <v>14822.34</v>
      </c>
      <c r="F37" s="96">
        <f>E37/$B$4</f>
        <v>0.03</v>
      </c>
      <c r="H37" s="90" t="s">
        <v>8</v>
      </c>
      <c r="I37" s="108">
        <f>K37*N37</f>
        <v>-1.9495350010813921E-2</v>
      </c>
      <c r="J37" s="110">
        <v>2496.7799999999997</v>
      </c>
      <c r="K37" s="96">
        <f>J37/$C$3</f>
        <v>5.9999999999999991E-2</v>
      </c>
      <c r="L37" s="110">
        <v>1685.52</v>
      </c>
      <c r="M37" s="96">
        <f>L37/$C$4</f>
        <v>0.04</v>
      </c>
      <c r="N37" s="112">
        <f>L37/J37-1</f>
        <v>-0.32492250018023205</v>
      </c>
      <c r="O37" s="113">
        <f>M37-K37</f>
        <v>-1.999999999999999E-2</v>
      </c>
      <c r="P37" s="71"/>
      <c r="Q37" s="87" t="s">
        <v>8</v>
      </c>
      <c r="R37" s="106">
        <f>U37/$D$3</f>
        <v>-1.9600680498824182E-2</v>
      </c>
      <c r="S37" s="112">
        <f>V37/$D$3</f>
        <v>-1.6666666666666659E-2</v>
      </c>
      <c r="T37" s="96">
        <f>W37/$D$3</f>
        <v>-2.9340138321575222E-3</v>
      </c>
      <c r="U37" s="121">
        <f>SUM(V37:W37)</f>
        <v>-0.22680370242545189</v>
      </c>
      <c r="V37" s="116">
        <f>O37*X37</f>
        <v>-0.19285359543091496</v>
      </c>
      <c r="W37" s="117">
        <f>M37*Z37</f>
        <v>-3.3950106994536926E-2</v>
      </c>
      <c r="X37" s="125">
        <f>C37/J37</f>
        <v>9.6426797715457528</v>
      </c>
      <c r="Y37" s="119">
        <f>E37/L37</f>
        <v>8.7939270966823297</v>
      </c>
      <c r="Z37" s="126">
        <f>Y37-X37</f>
        <v>-0.8487526748634231</v>
      </c>
      <c r="AA37" s="70"/>
    </row>
    <row r="38" spans="1:30" x14ac:dyDescent="0.35">
      <c r="A38" s="90" t="s">
        <v>9</v>
      </c>
      <c r="B38" s="92">
        <f>I38+R38</f>
        <v>-9.2887462571305951E-2</v>
      </c>
      <c r="C38" s="95">
        <v>144453.9</v>
      </c>
      <c r="D38" s="96">
        <f>C38/$B$3</f>
        <v>0.3</v>
      </c>
      <c r="E38" s="82">
        <v>123519.5</v>
      </c>
      <c r="F38" s="96">
        <f>E38/$B$4</f>
        <v>0.25</v>
      </c>
      <c r="H38" s="90" t="s">
        <v>9</v>
      </c>
      <c r="I38" s="108">
        <f>K38*N38</f>
        <v>-4.6215125081104445E-2</v>
      </c>
      <c r="J38" s="110">
        <v>14564.55</v>
      </c>
      <c r="K38" s="96">
        <f>J38/$C$3</f>
        <v>0.35</v>
      </c>
      <c r="L38" s="110">
        <v>12641.4</v>
      </c>
      <c r="M38" s="96">
        <f>L38/$C$4</f>
        <v>0.3</v>
      </c>
      <c r="N38" s="112">
        <f>L38/J38-1</f>
        <v>-0.13204321451744128</v>
      </c>
      <c r="O38" s="113">
        <f>M38-K38</f>
        <v>-4.9999999999999989E-2</v>
      </c>
      <c r="P38" s="71"/>
      <c r="Q38" s="87" t="s">
        <v>9</v>
      </c>
      <c r="R38" s="106">
        <f>U38/$D$3</f>
        <v>-4.6672337490201513E-2</v>
      </c>
      <c r="S38" s="112">
        <f>V38/$D$3</f>
        <v>-4.2857142857142844E-2</v>
      </c>
      <c r="T38" s="96">
        <f>W38/$D$3</f>
        <v>-3.8151946330586689E-3</v>
      </c>
      <c r="U38" s="121">
        <f>SUM(V38:W38)</f>
        <v>-0.54005568552902705</v>
      </c>
      <c r="V38" s="116">
        <f>O38*X38</f>
        <v>-0.49590924539378134</v>
      </c>
      <c r="W38" s="117">
        <f>M38*Z38</f>
        <v>-4.4146440135245692E-2</v>
      </c>
      <c r="X38" s="125">
        <f>C38/J38</f>
        <v>9.918184907875629</v>
      </c>
      <c r="Y38" s="119">
        <f>E38/L38</f>
        <v>9.77103010742481</v>
      </c>
      <c r="Z38" s="126">
        <f>Y38-X38</f>
        <v>-0.14715480045081897</v>
      </c>
      <c r="AA38" s="70"/>
    </row>
    <row r="39" spans="1:30" x14ac:dyDescent="0.35">
      <c r="A39" s="90" t="s">
        <v>10</v>
      </c>
      <c r="B39" s="92">
        <f>I39+R39</f>
        <v>7.325822247884424E-2</v>
      </c>
      <c r="C39" s="95">
        <v>48151.3</v>
      </c>
      <c r="D39" s="96">
        <f>C39/$B$3</f>
        <v>0.1</v>
      </c>
      <c r="E39" s="82">
        <v>74111.7</v>
      </c>
      <c r="F39" s="96">
        <f>E39/$B$4</f>
        <v>0.15</v>
      </c>
      <c r="H39" s="90" t="s">
        <v>10</v>
      </c>
      <c r="I39" s="108">
        <f>K39*N39</f>
        <v>2.1261624972965177E-2</v>
      </c>
      <c r="J39" s="110">
        <v>3329.04</v>
      </c>
      <c r="K39" s="96">
        <f>J39/$C$3</f>
        <v>0.08</v>
      </c>
      <c r="L39" s="110">
        <v>4213.8</v>
      </c>
      <c r="M39" s="96">
        <f>L39/$C$4</f>
        <v>0.1</v>
      </c>
      <c r="N39" s="112">
        <f>L39/J39-1</f>
        <v>0.2657703121620647</v>
      </c>
      <c r="O39" s="113">
        <f>M39-K39</f>
        <v>2.0000000000000004E-2</v>
      </c>
      <c r="P39" s="71"/>
      <c r="Q39" s="87" t="s">
        <v>10</v>
      </c>
      <c r="R39" s="106">
        <f>U39/$D$3</f>
        <v>5.1996597505879066E-2</v>
      </c>
      <c r="S39" s="112">
        <f>V39/$D$3</f>
        <v>2.5000000000000005E-2</v>
      </c>
      <c r="T39" s="96">
        <f>W39/$D$3</f>
        <v>2.6996597505879055E-2</v>
      </c>
      <c r="U39" s="121">
        <f>SUM(V39:W39)</f>
        <v>0.60166384675097562</v>
      </c>
      <c r="V39" s="116">
        <f>O39*X39</f>
        <v>0.28928039314637261</v>
      </c>
      <c r="W39" s="117">
        <f>M39*Z39</f>
        <v>0.31238345360460296</v>
      </c>
      <c r="X39" s="125">
        <f>C39/J39</f>
        <v>14.464019657318627</v>
      </c>
      <c r="Y39" s="119">
        <f>E39/L39</f>
        <v>17.587854193364656</v>
      </c>
      <c r="Z39" s="126">
        <f>Y39-X39</f>
        <v>3.1238345360460293</v>
      </c>
      <c r="AA39" s="70"/>
    </row>
    <row r="40" spans="1:30" ht="15" thickBot="1" x14ac:dyDescent="0.4">
      <c r="A40" s="77" t="s">
        <v>11</v>
      </c>
      <c r="B40" s="93">
        <f>I40+R40</f>
        <v>-4.8857593521235879E-2</v>
      </c>
      <c r="C40" s="97">
        <v>24075.65</v>
      </c>
      <c r="D40" s="99">
        <f>C40/$B$3</f>
        <v>0.05</v>
      </c>
      <c r="E40" s="98">
        <v>4940.78</v>
      </c>
      <c r="F40" s="99">
        <f>E40/$B$4</f>
        <v>0.01</v>
      </c>
      <c r="H40" s="77" t="s">
        <v>11</v>
      </c>
      <c r="I40" s="109">
        <f>K40*N40</f>
        <v>-8.9907000216278236E-3</v>
      </c>
      <c r="J40" s="111">
        <v>3745.1699999999987</v>
      </c>
      <c r="K40" s="99">
        <f>J40/$C$3</f>
        <v>8.9999999999999969E-2</v>
      </c>
      <c r="L40" s="111">
        <v>3371.04</v>
      </c>
      <c r="M40" s="99">
        <f>L40/$C$4</f>
        <v>0.08</v>
      </c>
      <c r="N40" s="114">
        <f>L40/J40-1</f>
        <v>-9.9896666906975851E-2</v>
      </c>
      <c r="O40" s="115">
        <f>M40-K40</f>
        <v>-9.9999999999999672E-3</v>
      </c>
      <c r="P40" s="71"/>
      <c r="Q40" s="88" t="s">
        <v>11</v>
      </c>
      <c r="R40" s="107">
        <f>U40/$D$3</f>
        <v>-3.9866893499608057E-2</v>
      </c>
      <c r="S40" s="114">
        <f>V40/$D$3</f>
        <v>-5.5555555555555384E-3</v>
      </c>
      <c r="T40" s="99">
        <f>W40/$D$3</f>
        <v>-3.4311337944052521E-2</v>
      </c>
      <c r="U40" s="122">
        <f>SUM(V40:W40)</f>
        <v>-0.46130842500364733</v>
      </c>
      <c r="V40" s="123">
        <f>O40*X40</f>
        <v>-6.4284531810304815E-2</v>
      </c>
      <c r="W40" s="124">
        <f>M40*Z40</f>
        <v>-0.39702389319334253</v>
      </c>
      <c r="X40" s="127">
        <f>C40/J40</f>
        <v>6.4284531810305028</v>
      </c>
      <c r="Y40" s="128">
        <f>E40/L40</f>
        <v>1.4656545161137216</v>
      </c>
      <c r="Z40" s="129">
        <f>Y40-X40</f>
        <v>-4.9627986649167815</v>
      </c>
      <c r="AA40" s="70"/>
    </row>
    <row r="41" spans="1:30" x14ac:dyDescent="0.35">
      <c r="A41" s="81" t="s">
        <v>14</v>
      </c>
      <c r="B41" s="83">
        <f>SUM(B35:B40)</f>
        <v>2.5926899768845699E-2</v>
      </c>
      <c r="C41" s="84">
        <f>SUM(C35:C40)</f>
        <v>481513.00000000006</v>
      </c>
      <c r="D41" s="85">
        <f>SUM(D35:D40)</f>
        <v>1</v>
      </c>
      <c r="E41" s="84">
        <f>SUM(E35:E40)</f>
        <v>494078.00000000012</v>
      </c>
      <c r="F41" s="85">
        <f>SUM(F35:F40)</f>
        <v>1</v>
      </c>
      <c r="H41" s="20" t="s">
        <v>14</v>
      </c>
      <c r="I41" s="28">
        <f>SUM(I35:I40)</f>
        <v>1.2616249729651788E-2</v>
      </c>
      <c r="J41" s="21">
        <f>SUM(J35:J40)</f>
        <v>41612.999999999993</v>
      </c>
      <c r="K41" s="22">
        <f>SUM(K35:K40)</f>
        <v>1</v>
      </c>
      <c r="L41" s="21">
        <f>SUM(L35:L40)</f>
        <v>42138</v>
      </c>
      <c r="M41" s="22">
        <f t="shared" ref="M41" si="1">SUM(M35:M40)</f>
        <v>1</v>
      </c>
      <c r="Q41" s="81" t="s">
        <v>14</v>
      </c>
      <c r="R41" s="83">
        <f>SUM(R35:R40)</f>
        <v>1.3310650039193898E-2</v>
      </c>
      <c r="S41" s="70"/>
      <c r="T41" s="70"/>
      <c r="U41" s="118">
        <f>SUM(U35:U40)</f>
        <v>0.15402040305487164</v>
      </c>
      <c r="V41" s="70"/>
      <c r="W41" s="70"/>
      <c r="X41" s="70"/>
      <c r="Y41" s="70"/>
      <c r="Z41" s="70"/>
      <c r="AA41" s="70"/>
    </row>
    <row r="42" spans="1:30" x14ac:dyDescent="0.35"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</row>
    <row r="43" spans="1:30" x14ac:dyDescent="0.35">
      <c r="H43" t="s">
        <v>49</v>
      </c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</row>
    <row r="44" spans="1:30" x14ac:dyDescent="0.35">
      <c r="H44" t="s">
        <v>50</v>
      </c>
      <c r="Q44" s="66" t="s">
        <v>19</v>
      </c>
      <c r="R44" s="66" t="s">
        <v>18</v>
      </c>
      <c r="S44" s="66"/>
      <c r="T44" s="66"/>
      <c r="Z44" s="70"/>
      <c r="AA44" s="70"/>
      <c r="AB44" s="70"/>
      <c r="AC44" s="70"/>
      <c r="AD44" s="70"/>
    </row>
    <row r="45" spans="1:30" x14ac:dyDescent="0.35">
      <c r="Q45" s="66"/>
      <c r="R45" s="66" t="s">
        <v>20</v>
      </c>
      <c r="S45" s="66"/>
      <c r="T45" s="66"/>
    </row>
    <row r="46" spans="1:30" x14ac:dyDescent="0.35">
      <c r="Q46" s="66" t="s">
        <v>21</v>
      </c>
      <c r="R46" s="66" t="s">
        <v>22</v>
      </c>
      <c r="S46" s="66"/>
      <c r="T46" s="66"/>
    </row>
    <row r="47" spans="1:30" x14ac:dyDescent="0.35">
      <c r="Q47" s="66"/>
      <c r="R47" s="66" t="s">
        <v>23</v>
      </c>
      <c r="S47" s="66"/>
      <c r="T47" s="66"/>
    </row>
    <row r="48" spans="1:30" x14ac:dyDescent="0.35">
      <c r="Q48" s="66"/>
      <c r="R48" s="66"/>
      <c r="S48" s="66"/>
      <c r="T48" s="66"/>
    </row>
    <row r="49" spans="8:20" x14ac:dyDescent="0.35">
      <c r="Q49" s="66"/>
      <c r="R49" s="66"/>
      <c r="S49" s="66"/>
      <c r="T49" s="66"/>
    </row>
    <row r="50" spans="8:20" x14ac:dyDescent="0.35">
      <c r="Q50" s="66" t="s">
        <v>28</v>
      </c>
      <c r="R50" s="66"/>
      <c r="S50" s="66"/>
      <c r="T50" s="66"/>
    </row>
    <row r="51" spans="8:20" x14ac:dyDescent="0.35">
      <c r="Q51" s="66"/>
      <c r="R51" s="66"/>
      <c r="S51" s="66"/>
      <c r="T51" s="66"/>
    </row>
    <row r="52" spans="8:20" x14ac:dyDescent="0.35">
      <c r="H52" s="66"/>
      <c r="I52" s="66"/>
      <c r="J52" s="66"/>
      <c r="K52" s="66"/>
    </row>
  </sheetData>
  <mergeCells count="6">
    <mergeCell ref="X33:Z33"/>
    <mergeCell ref="J32:K32"/>
    <mergeCell ref="L32:M32"/>
    <mergeCell ref="N32:O32"/>
    <mergeCell ref="C32:D32"/>
    <mergeCell ref="E32:F32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86367-0318-4CB5-890F-425467338798}">
  <dimension ref="A1:AC28"/>
  <sheetViews>
    <sheetView workbookViewId="0">
      <selection activeCell="C6" sqref="C6"/>
    </sheetView>
  </sheetViews>
  <sheetFormatPr defaultRowHeight="14.5" x14ac:dyDescent="0.35"/>
  <cols>
    <col min="1" max="1" width="11.7265625" bestFit="1" customWidth="1"/>
    <col min="2" max="2" width="12.08984375" bestFit="1" customWidth="1"/>
    <col min="3" max="3" width="13.36328125" customWidth="1"/>
    <col min="4" max="4" width="13.81640625" customWidth="1"/>
    <col min="6" max="6" width="9.54296875" customWidth="1"/>
    <col min="8" max="8" width="3" customWidth="1"/>
    <col min="9" max="10" width="9.54296875" bestFit="1" customWidth="1"/>
    <col min="16" max="16" width="2.81640625" customWidth="1"/>
    <col min="19" max="19" width="10.36328125" bestFit="1" customWidth="1"/>
    <col min="20" max="20" width="13.1796875" bestFit="1" customWidth="1"/>
    <col min="21" max="21" width="3.1796875" customWidth="1"/>
    <col min="22" max="22" width="11.7265625" customWidth="1"/>
    <col min="23" max="23" width="10.453125" bestFit="1" customWidth="1"/>
    <col min="24" max="24" width="13.1796875" bestFit="1" customWidth="1"/>
    <col min="25" max="25" width="11.54296875" bestFit="1" customWidth="1"/>
    <col min="26" max="26" width="13.1796875" bestFit="1" customWidth="1"/>
    <col min="27" max="27" width="15.81640625" bestFit="1" customWidth="1"/>
    <col min="28" max="28" width="14.26953125" bestFit="1" customWidth="1"/>
  </cols>
  <sheetData>
    <row r="1" spans="1:29" x14ac:dyDescent="0.35">
      <c r="B1" t="s">
        <v>0</v>
      </c>
      <c r="C1" t="s">
        <v>1</v>
      </c>
      <c r="D1" t="s">
        <v>2</v>
      </c>
      <c r="E1" t="s">
        <v>15</v>
      </c>
    </row>
    <row r="2" spans="1:29" x14ac:dyDescent="0.35">
      <c r="A2">
        <v>2023</v>
      </c>
      <c r="B2" s="4">
        <v>481513</v>
      </c>
      <c r="C2" s="5">
        <v>41613</v>
      </c>
      <c r="D2" s="3">
        <f>B2/C2</f>
        <v>11.571215725854902</v>
      </c>
    </row>
    <row r="3" spans="1:29" x14ac:dyDescent="0.35">
      <c r="A3">
        <v>2024</v>
      </c>
      <c r="B3" s="4">
        <v>494078</v>
      </c>
      <c r="C3" s="5">
        <v>42138</v>
      </c>
      <c r="D3" s="3">
        <f>B3/C3</f>
        <v>11.725236128909772</v>
      </c>
    </row>
    <row r="4" spans="1:29" x14ac:dyDescent="0.35">
      <c r="A4" t="s">
        <v>3</v>
      </c>
      <c r="B4" s="2">
        <f>B3/B2-1</f>
        <v>2.6094830253804213E-2</v>
      </c>
      <c r="C4" s="2">
        <f t="shared" ref="C4:D4" si="0">C3/C2-1</f>
        <v>1.2616249729651807E-2</v>
      </c>
      <c r="D4" s="2">
        <f t="shared" si="0"/>
        <v>1.3310650039193739E-2</v>
      </c>
      <c r="E4" s="6">
        <f>D3-D2</f>
        <v>0.15402040305487041</v>
      </c>
    </row>
    <row r="5" spans="1:29" x14ac:dyDescent="0.35">
      <c r="A5" s="20" t="s">
        <v>4</v>
      </c>
      <c r="B5" s="20"/>
      <c r="C5" s="28">
        <f>C4+0.5*(C4*D4)</f>
        <v>1.2700214972131042E-2</v>
      </c>
      <c r="D5" s="28">
        <f>D4+0.5*(D4*C4)</f>
        <v>1.3394615281672973E-2</v>
      </c>
    </row>
    <row r="6" spans="1:29" x14ac:dyDescent="0.35">
      <c r="C6" s="29"/>
      <c r="D6" s="2"/>
    </row>
    <row r="7" spans="1:29" x14ac:dyDescent="0.35">
      <c r="A7" t="s">
        <v>17</v>
      </c>
      <c r="C7" s="29"/>
      <c r="D7" s="2">
        <f>SUM(Z17:Z22)</f>
        <v>3.1511544011544004E-2</v>
      </c>
    </row>
    <row r="8" spans="1:29" x14ac:dyDescent="0.35">
      <c r="A8" t="s">
        <v>21</v>
      </c>
      <c r="C8" s="29"/>
      <c r="D8" s="2">
        <f>SUM(AA17:AA22)</f>
        <v>-1.8200893972350109E-2</v>
      </c>
    </row>
    <row r="9" spans="1:29" x14ac:dyDescent="0.35">
      <c r="A9" t="s">
        <v>28</v>
      </c>
      <c r="C9" s="29"/>
      <c r="D9" s="2"/>
    </row>
    <row r="10" spans="1:29" x14ac:dyDescent="0.35">
      <c r="C10" s="29"/>
      <c r="D10" s="2"/>
    </row>
    <row r="11" spans="1:29" x14ac:dyDescent="0.35">
      <c r="C11" s="29"/>
      <c r="D11" s="2"/>
    </row>
    <row r="12" spans="1:29" x14ac:dyDescent="0.35">
      <c r="C12" s="1"/>
    </row>
    <row r="13" spans="1:29" x14ac:dyDescent="0.35">
      <c r="B13" s="52">
        <v>2023</v>
      </c>
      <c r="C13" s="53"/>
      <c r="D13" s="53"/>
      <c r="E13" s="53"/>
      <c r="F13" s="53"/>
      <c r="G13" s="54"/>
      <c r="J13" s="52">
        <v>2024</v>
      </c>
      <c r="K13" s="53"/>
      <c r="L13" s="53"/>
      <c r="M13" s="53"/>
      <c r="N13" s="53"/>
      <c r="O13" s="54"/>
      <c r="Q13" s="52" t="s">
        <v>3</v>
      </c>
      <c r="R13" s="53"/>
      <c r="S13" s="53"/>
      <c r="T13" s="54"/>
      <c r="U13" s="27"/>
      <c r="V13" s="55" t="s">
        <v>4</v>
      </c>
      <c r="W13" s="56"/>
      <c r="X13" s="56"/>
      <c r="Y13" s="56"/>
      <c r="Z13" s="56"/>
      <c r="AA13" s="56"/>
      <c r="AB13" s="56"/>
      <c r="AC13" s="57"/>
    </row>
    <row r="14" spans="1:29" x14ac:dyDescent="0.35">
      <c r="B14" s="52" t="s">
        <v>0</v>
      </c>
      <c r="C14" s="54"/>
      <c r="D14" s="52" t="s">
        <v>1</v>
      </c>
      <c r="E14" s="54"/>
      <c r="F14" s="52" t="s">
        <v>2</v>
      </c>
      <c r="G14" s="54"/>
      <c r="J14" s="52" t="s">
        <v>0</v>
      </c>
      <c r="K14" s="54"/>
      <c r="L14" s="52" t="s">
        <v>1</v>
      </c>
      <c r="M14" s="54"/>
      <c r="N14" s="52" t="s">
        <v>2</v>
      </c>
      <c r="O14" s="54"/>
      <c r="Q14" s="9" t="s">
        <v>0</v>
      </c>
      <c r="R14" t="s">
        <v>1</v>
      </c>
      <c r="S14" s="49" t="s">
        <v>2</v>
      </c>
      <c r="T14" s="50"/>
      <c r="V14" s="40" t="s">
        <v>1</v>
      </c>
      <c r="W14" s="51" t="s">
        <v>2</v>
      </c>
      <c r="X14" s="49"/>
      <c r="Y14" s="49"/>
      <c r="Z14" s="49"/>
      <c r="AA14" s="49"/>
      <c r="AB14" s="50"/>
      <c r="AC14" s="45" t="s">
        <v>0</v>
      </c>
    </row>
    <row r="15" spans="1:29" x14ac:dyDescent="0.35">
      <c r="B15" s="9" t="s">
        <v>12</v>
      </c>
      <c r="C15" s="10" t="s">
        <v>13</v>
      </c>
      <c r="D15" s="9" t="s">
        <v>12</v>
      </c>
      <c r="E15" s="10" t="s">
        <v>13</v>
      </c>
      <c r="F15" s="9" t="s">
        <v>12</v>
      </c>
      <c r="G15" s="10" t="s">
        <v>13</v>
      </c>
      <c r="J15" s="9" t="s">
        <v>12</v>
      </c>
      <c r="K15" s="10" t="s">
        <v>13</v>
      </c>
      <c r="L15" s="9" t="s">
        <v>12</v>
      </c>
      <c r="M15" s="10" t="s">
        <v>13</v>
      </c>
      <c r="N15" s="9" t="s">
        <v>12</v>
      </c>
      <c r="O15" s="10" t="s">
        <v>13</v>
      </c>
      <c r="Q15" s="9"/>
      <c r="T15" s="10"/>
      <c r="V15" s="39"/>
      <c r="W15" s="9"/>
      <c r="AB15" s="10"/>
      <c r="AC15" s="10"/>
    </row>
    <row r="16" spans="1:29" x14ac:dyDescent="0.35">
      <c r="A16" t="s">
        <v>5</v>
      </c>
      <c r="B16" s="9"/>
      <c r="C16" s="10"/>
      <c r="D16" s="9"/>
      <c r="E16" s="10"/>
      <c r="F16" s="9"/>
      <c r="G16" s="10"/>
      <c r="I16" t="s">
        <v>5</v>
      </c>
      <c r="J16" s="9"/>
      <c r="K16" s="10"/>
      <c r="L16" s="9"/>
      <c r="M16" s="10"/>
      <c r="N16" s="9"/>
      <c r="O16" s="10"/>
      <c r="Q16" s="9" t="s">
        <v>0</v>
      </c>
      <c r="R16" t="s">
        <v>1</v>
      </c>
      <c r="S16" t="s">
        <v>16</v>
      </c>
      <c r="T16" s="10" t="s">
        <v>15</v>
      </c>
      <c r="V16" s="38"/>
      <c r="W16" s="7" t="s">
        <v>17</v>
      </c>
      <c r="X16" s="23" t="s">
        <v>21</v>
      </c>
      <c r="Y16" s="23" t="s">
        <v>24</v>
      </c>
      <c r="Z16" s="23" t="s">
        <v>26</v>
      </c>
      <c r="AA16" s="23" t="s">
        <v>27</v>
      </c>
      <c r="AB16" s="8" t="s">
        <v>25</v>
      </c>
      <c r="AC16" s="10"/>
    </row>
    <row r="17" spans="1:29" x14ac:dyDescent="0.35">
      <c r="A17" t="s">
        <v>6</v>
      </c>
      <c r="B17" s="11">
        <v>120378.25</v>
      </c>
      <c r="C17" s="12">
        <f>B17/$B$2</f>
        <v>0.25</v>
      </c>
      <c r="D17" s="15">
        <v>9154.86</v>
      </c>
      <c r="E17" s="12">
        <f>D17/$C$2</f>
        <v>0.22</v>
      </c>
      <c r="F17" s="17">
        <f>B17/D17</f>
        <v>13.149108779380569</v>
      </c>
      <c r="G17" s="10"/>
      <c r="I17" t="s">
        <v>6</v>
      </c>
      <c r="J17" s="11">
        <v>138341.84</v>
      </c>
      <c r="K17" s="12">
        <f>J17/$B$3</f>
        <v>0.27999999999999997</v>
      </c>
      <c r="L17" s="15">
        <v>10534.5</v>
      </c>
      <c r="M17" s="12">
        <f>L17/$C$3</f>
        <v>0.25</v>
      </c>
      <c r="N17" s="17">
        <f>J17/L17</f>
        <v>13.132264464378945</v>
      </c>
      <c r="O17" s="10"/>
      <c r="Q17" s="9"/>
      <c r="R17" s="24">
        <f>L17/D17-1</f>
        <v>0.15070028378369504</v>
      </c>
      <c r="S17" s="48">
        <f>M17-E17</f>
        <v>0.03</v>
      </c>
      <c r="T17" s="30">
        <f>N17-F17</f>
        <v>-1.6844315001623755E-2</v>
      </c>
      <c r="V17" s="41">
        <f t="shared" ref="V17:V22" si="1">E17*R17</f>
        <v>3.3154062432412909E-2</v>
      </c>
      <c r="W17" s="36">
        <f t="shared" ref="W17:W22" si="2">S17*F17</f>
        <v>0.39447326338141703</v>
      </c>
      <c r="X17" s="32">
        <f t="shared" ref="X17:X22" si="3">M17*T17</f>
        <v>-4.2110787504059388E-3</v>
      </c>
      <c r="Y17" s="6">
        <f>SUM(W17:X17)</f>
        <v>0.39026218463101109</v>
      </c>
      <c r="Z17" s="24">
        <f>W17/$D$2</f>
        <v>3.4090909090909081E-2</v>
      </c>
      <c r="AA17" s="24">
        <f>X17/$D$2</f>
        <v>-3.639270799347937E-4</v>
      </c>
      <c r="AB17" s="12">
        <f>Y17/$D$2</f>
        <v>3.3726982010974287E-2</v>
      </c>
      <c r="AC17" s="43">
        <f>V17+AB17</f>
        <v>6.6881044443387189E-2</v>
      </c>
    </row>
    <row r="18" spans="1:29" x14ac:dyDescent="0.35">
      <c r="A18" t="s">
        <v>7</v>
      </c>
      <c r="B18" s="11">
        <v>120378.25</v>
      </c>
      <c r="C18" s="12">
        <f t="shared" ref="C18:C22" si="4">B18/$B$2</f>
        <v>0.25</v>
      </c>
      <c r="D18" s="15">
        <v>8322.6</v>
      </c>
      <c r="E18" s="12">
        <f t="shared" ref="E18:E22" si="5">D18/$C$2</f>
        <v>0.2</v>
      </c>
      <c r="F18" s="17">
        <f t="shared" ref="F18:F22" si="6">B18/D18</f>
        <v>14.464019657318627</v>
      </c>
      <c r="G18" s="10"/>
      <c r="I18" t="s">
        <v>7</v>
      </c>
      <c r="J18" s="11">
        <v>138341.84000000003</v>
      </c>
      <c r="K18" s="12">
        <f t="shared" ref="K18:K22" si="7">J18/$B$3</f>
        <v>0.28000000000000003</v>
      </c>
      <c r="L18" s="15">
        <v>9691.74</v>
      </c>
      <c r="M18" s="12">
        <f t="shared" ref="M18:M21" si="8">L18/$C$3</f>
        <v>0.22999999999999998</v>
      </c>
      <c r="N18" s="17">
        <f t="shared" ref="N18:N22" si="9">J18/L18</f>
        <v>14.274200504759726</v>
      </c>
      <c r="O18" s="10"/>
      <c r="Q18" s="9"/>
      <c r="R18" s="24">
        <f t="shared" ref="R18:R22" si="10">L18/D18-1</f>
        <v>0.1645086871890995</v>
      </c>
      <c r="S18" s="31">
        <f t="shared" ref="S18:S22" si="11">M18-E18</f>
        <v>2.9999999999999971E-2</v>
      </c>
      <c r="T18" s="30">
        <f t="shared" ref="T18:T22" si="12">N18-F18</f>
        <v>-0.18981915255890058</v>
      </c>
      <c r="V18" s="41">
        <f t="shared" si="1"/>
        <v>3.2901737437819899E-2</v>
      </c>
      <c r="W18" s="36">
        <f t="shared" si="2"/>
        <v>0.43392058971955838</v>
      </c>
      <c r="X18" s="32">
        <f t="shared" si="3"/>
        <v>-4.3658405088547132E-2</v>
      </c>
      <c r="Y18" s="6">
        <f t="shared" ref="Y18:Y22" si="13">SUM(W18:X18)</f>
        <v>0.39026218463101126</v>
      </c>
      <c r="Z18" s="24">
        <f t="shared" ref="Z18:Z22" si="14">W18/$D$2</f>
        <v>3.7499999999999964E-2</v>
      </c>
      <c r="AA18" s="24">
        <f t="shared" ref="AA18:AA22" si="15">X18/$D$2</f>
        <v>-3.7730179890256578E-3</v>
      </c>
      <c r="AB18" s="12">
        <f t="shared" ref="AB18:AB22" si="16">Y18/$D$2</f>
        <v>3.3726982010974307E-2</v>
      </c>
      <c r="AC18" s="43">
        <f t="shared" ref="AC18:AC22" si="17">V18+AB18</f>
        <v>6.6628719448794199E-2</v>
      </c>
    </row>
    <row r="19" spans="1:29" x14ac:dyDescent="0.35">
      <c r="A19" t="s">
        <v>8</v>
      </c>
      <c r="B19" s="11">
        <v>24075.65</v>
      </c>
      <c r="C19" s="12">
        <f t="shared" si="4"/>
        <v>0.05</v>
      </c>
      <c r="D19" s="15">
        <v>2496.7799999999997</v>
      </c>
      <c r="E19" s="12">
        <f t="shared" si="5"/>
        <v>5.9999999999999991E-2</v>
      </c>
      <c r="F19" s="17">
        <f t="shared" si="6"/>
        <v>9.6426797715457528</v>
      </c>
      <c r="G19" s="10"/>
      <c r="I19" t="s">
        <v>8</v>
      </c>
      <c r="J19" s="11">
        <v>14822.34</v>
      </c>
      <c r="K19" s="12">
        <f t="shared" si="7"/>
        <v>0.03</v>
      </c>
      <c r="L19" s="15">
        <v>1685.52</v>
      </c>
      <c r="M19" s="12">
        <f t="shared" si="8"/>
        <v>0.04</v>
      </c>
      <c r="N19" s="17">
        <f t="shared" si="9"/>
        <v>8.7939270966823297</v>
      </c>
      <c r="O19" s="10"/>
      <c r="Q19" s="9"/>
      <c r="R19" s="24">
        <f t="shared" si="10"/>
        <v>-0.32492250018023205</v>
      </c>
      <c r="S19" s="31">
        <f t="shared" si="11"/>
        <v>-1.999999999999999E-2</v>
      </c>
      <c r="T19" s="30">
        <f t="shared" si="12"/>
        <v>-0.8487526748634231</v>
      </c>
      <c r="V19" s="41">
        <f t="shared" si="1"/>
        <v>-1.9495350010813921E-2</v>
      </c>
      <c r="W19" s="36">
        <f t="shared" si="2"/>
        <v>-0.19285359543091496</v>
      </c>
      <c r="X19" s="32">
        <f t="shared" si="3"/>
        <v>-3.3950106994536926E-2</v>
      </c>
      <c r="Y19" s="6">
        <f t="shared" si="13"/>
        <v>-0.22680370242545189</v>
      </c>
      <c r="Z19" s="24">
        <f t="shared" si="14"/>
        <v>-1.6666666666666659E-2</v>
      </c>
      <c r="AA19" s="24">
        <f t="shared" si="15"/>
        <v>-2.9340138321575222E-3</v>
      </c>
      <c r="AB19" s="12">
        <f t="shared" si="16"/>
        <v>-1.9600680498824182E-2</v>
      </c>
      <c r="AC19" s="43">
        <f t="shared" si="17"/>
        <v>-3.9096030509638099E-2</v>
      </c>
    </row>
    <row r="20" spans="1:29" x14ac:dyDescent="0.35">
      <c r="A20" t="s">
        <v>9</v>
      </c>
      <c r="B20" s="11">
        <v>144453.9</v>
      </c>
      <c r="C20" s="12">
        <f t="shared" si="4"/>
        <v>0.3</v>
      </c>
      <c r="D20" s="15">
        <v>14564.55</v>
      </c>
      <c r="E20" s="12">
        <f t="shared" si="5"/>
        <v>0.35</v>
      </c>
      <c r="F20" s="17">
        <f t="shared" si="6"/>
        <v>9.918184907875629</v>
      </c>
      <c r="G20" s="10"/>
      <c r="I20" t="s">
        <v>9</v>
      </c>
      <c r="J20" s="11">
        <v>123519.5</v>
      </c>
      <c r="K20" s="12">
        <f t="shared" si="7"/>
        <v>0.25</v>
      </c>
      <c r="L20" s="15">
        <v>12641.4</v>
      </c>
      <c r="M20" s="12">
        <f t="shared" si="8"/>
        <v>0.3</v>
      </c>
      <c r="N20" s="17">
        <f t="shared" si="9"/>
        <v>9.77103010742481</v>
      </c>
      <c r="O20" s="10"/>
      <c r="Q20" s="9"/>
      <c r="R20" s="24">
        <f t="shared" si="10"/>
        <v>-0.13204321451744128</v>
      </c>
      <c r="S20" s="31">
        <f t="shared" si="11"/>
        <v>-4.9999999999999989E-2</v>
      </c>
      <c r="T20" s="30">
        <f t="shared" si="12"/>
        <v>-0.14715480045081897</v>
      </c>
      <c r="V20" s="41">
        <f t="shared" si="1"/>
        <v>-4.6215125081104445E-2</v>
      </c>
      <c r="W20" s="36">
        <f t="shared" si="2"/>
        <v>-0.49590924539378134</v>
      </c>
      <c r="X20" s="32">
        <f t="shared" si="3"/>
        <v>-4.4146440135245692E-2</v>
      </c>
      <c r="Y20" s="6">
        <f t="shared" si="13"/>
        <v>-0.54005568552902705</v>
      </c>
      <c r="Z20" s="24">
        <f t="shared" si="14"/>
        <v>-4.2857142857142844E-2</v>
      </c>
      <c r="AA20" s="24">
        <f t="shared" si="15"/>
        <v>-3.8151946330586689E-3</v>
      </c>
      <c r="AB20" s="12">
        <f t="shared" si="16"/>
        <v>-4.6672337490201513E-2</v>
      </c>
      <c r="AC20" s="43">
        <f t="shared" si="17"/>
        <v>-9.2887462571305951E-2</v>
      </c>
    </row>
    <row r="21" spans="1:29" x14ac:dyDescent="0.35">
      <c r="A21" t="s">
        <v>10</v>
      </c>
      <c r="B21" s="11">
        <v>48151.3</v>
      </c>
      <c r="C21" s="12">
        <f t="shared" si="4"/>
        <v>0.1</v>
      </c>
      <c r="D21" s="15">
        <v>3329.04</v>
      </c>
      <c r="E21" s="12">
        <f t="shared" si="5"/>
        <v>0.08</v>
      </c>
      <c r="F21" s="17">
        <f t="shared" si="6"/>
        <v>14.464019657318627</v>
      </c>
      <c r="G21" s="10"/>
      <c r="I21" t="s">
        <v>10</v>
      </c>
      <c r="J21" s="11">
        <v>74111.7</v>
      </c>
      <c r="K21" s="12">
        <f t="shared" si="7"/>
        <v>0.15</v>
      </c>
      <c r="L21" s="15">
        <v>4213.8</v>
      </c>
      <c r="M21" s="12">
        <f t="shared" si="8"/>
        <v>0.1</v>
      </c>
      <c r="N21" s="17">
        <f t="shared" si="9"/>
        <v>17.587854193364656</v>
      </c>
      <c r="O21" s="10"/>
      <c r="Q21" s="9"/>
      <c r="R21" s="24">
        <f t="shared" si="10"/>
        <v>0.2657703121620647</v>
      </c>
      <c r="S21" s="31">
        <f t="shared" si="11"/>
        <v>2.0000000000000004E-2</v>
      </c>
      <c r="T21" s="30">
        <f t="shared" si="12"/>
        <v>3.1238345360460293</v>
      </c>
      <c r="V21" s="41">
        <f t="shared" si="1"/>
        <v>2.1261624972965177E-2</v>
      </c>
      <c r="W21" s="36">
        <f t="shared" si="2"/>
        <v>0.28928039314637261</v>
      </c>
      <c r="X21" s="32">
        <f t="shared" si="3"/>
        <v>0.31238345360460296</v>
      </c>
      <c r="Y21" s="6">
        <f t="shared" si="13"/>
        <v>0.60166384675097562</v>
      </c>
      <c r="Z21" s="24">
        <f t="shared" si="14"/>
        <v>2.5000000000000005E-2</v>
      </c>
      <c r="AA21" s="24">
        <f t="shared" si="15"/>
        <v>2.6996597505879055E-2</v>
      </c>
      <c r="AB21" s="12">
        <f t="shared" si="16"/>
        <v>5.1996597505879066E-2</v>
      </c>
      <c r="AC21" s="43">
        <f t="shared" si="17"/>
        <v>7.325822247884424E-2</v>
      </c>
    </row>
    <row r="22" spans="1:29" x14ac:dyDescent="0.35">
      <c r="A22" t="s">
        <v>11</v>
      </c>
      <c r="B22" s="13">
        <v>24075.65</v>
      </c>
      <c r="C22" s="14">
        <f t="shared" si="4"/>
        <v>0.05</v>
      </c>
      <c r="D22" s="16">
        <v>3745.1699999999987</v>
      </c>
      <c r="E22" s="14">
        <f t="shared" si="5"/>
        <v>8.9999999999999969E-2</v>
      </c>
      <c r="F22" s="18">
        <f t="shared" si="6"/>
        <v>6.4284531810305028</v>
      </c>
      <c r="G22" s="19"/>
      <c r="I22" t="s">
        <v>11</v>
      </c>
      <c r="J22" s="13">
        <v>4940.78</v>
      </c>
      <c r="K22" s="14">
        <f t="shared" si="7"/>
        <v>0.01</v>
      </c>
      <c r="L22" s="16">
        <v>3371.04</v>
      </c>
      <c r="M22" s="14">
        <f>L22/$C$3</f>
        <v>0.08</v>
      </c>
      <c r="N22" s="18">
        <f t="shared" si="9"/>
        <v>1.4656545161137216</v>
      </c>
      <c r="O22" s="19"/>
      <c r="Q22" s="25"/>
      <c r="R22" s="26">
        <f t="shared" si="10"/>
        <v>-9.9896666906975851E-2</v>
      </c>
      <c r="S22" s="46">
        <f t="shared" si="11"/>
        <v>-9.9999999999999672E-3</v>
      </c>
      <c r="T22" s="47">
        <f t="shared" si="12"/>
        <v>-4.9627986649167815</v>
      </c>
      <c r="V22" s="42">
        <f t="shared" si="1"/>
        <v>-8.9907000216278236E-3</v>
      </c>
      <c r="W22" s="37">
        <f t="shared" si="2"/>
        <v>-6.4284531810304815E-2</v>
      </c>
      <c r="X22" s="35">
        <f t="shared" si="3"/>
        <v>-0.39702389319334253</v>
      </c>
      <c r="Y22" s="34">
        <f t="shared" si="13"/>
        <v>-0.46130842500364733</v>
      </c>
      <c r="Z22" s="26">
        <f t="shared" si="14"/>
        <v>-5.5555555555555384E-3</v>
      </c>
      <c r="AA22" s="26">
        <f t="shared" si="15"/>
        <v>-3.4311337944052521E-2</v>
      </c>
      <c r="AB22" s="14">
        <f t="shared" si="16"/>
        <v>-3.9866893499608057E-2</v>
      </c>
      <c r="AC22" s="44">
        <f t="shared" si="17"/>
        <v>-4.8857593521235879E-2</v>
      </c>
    </row>
    <row r="23" spans="1:29" s="20" customFormat="1" ht="19" customHeight="1" x14ac:dyDescent="0.35">
      <c r="A23" s="20" t="s">
        <v>14</v>
      </c>
      <c r="B23" s="21">
        <f>SUM(B17:B22)</f>
        <v>481513.00000000006</v>
      </c>
      <c r="C23" s="22">
        <f t="shared" ref="C23:E23" si="18">SUM(C17:C22)</f>
        <v>1</v>
      </c>
      <c r="D23" s="21">
        <f t="shared" si="18"/>
        <v>41612.999999999993</v>
      </c>
      <c r="E23" s="22">
        <f t="shared" si="18"/>
        <v>1</v>
      </c>
      <c r="J23" s="21">
        <f>SUM(J17:J22)</f>
        <v>494078.00000000012</v>
      </c>
      <c r="K23" s="22">
        <f t="shared" ref="K23" si="19">SUM(K17:K22)</f>
        <v>1</v>
      </c>
      <c r="L23" s="21">
        <f>SUM(L17:L22)</f>
        <v>42138</v>
      </c>
      <c r="M23" s="22">
        <f t="shared" ref="M23" si="20">SUM(M17:M22)</f>
        <v>1</v>
      </c>
      <c r="V23" s="28">
        <f>SUM(V17:V22)</f>
        <v>1.2616249729651788E-2</v>
      </c>
      <c r="Y23" s="33">
        <f>SUM(Y17:Y22)</f>
        <v>0.15402040305487164</v>
      </c>
      <c r="Z23" s="33"/>
      <c r="AA23" s="33"/>
      <c r="AB23" s="28">
        <f>SUM(AB17:AB22)</f>
        <v>1.3310650039193898E-2</v>
      </c>
      <c r="AC23" s="28">
        <f>SUM(AC17:AC22)</f>
        <v>2.5926899768845699E-2</v>
      </c>
    </row>
    <row r="25" spans="1:29" x14ac:dyDescent="0.35">
      <c r="W25" t="s">
        <v>19</v>
      </c>
      <c r="X25" t="s">
        <v>18</v>
      </c>
    </row>
    <row r="26" spans="1:29" x14ac:dyDescent="0.35">
      <c r="X26" t="s">
        <v>20</v>
      </c>
    </row>
    <row r="27" spans="1:29" x14ac:dyDescent="0.35">
      <c r="W27" t="s">
        <v>21</v>
      </c>
      <c r="X27" t="s">
        <v>22</v>
      </c>
    </row>
    <row r="28" spans="1:29" x14ac:dyDescent="0.35">
      <c r="X28" t="s">
        <v>23</v>
      </c>
    </row>
  </sheetData>
  <mergeCells count="12">
    <mergeCell ref="Q13:T13"/>
    <mergeCell ref="S14:T14"/>
    <mergeCell ref="W14:AB14"/>
    <mergeCell ref="V13:AC13"/>
    <mergeCell ref="B14:C14"/>
    <mergeCell ref="D14:E14"/>
    <mergeCell ref="F14:G14"/>
    <mergeCell ref="B13:G13"/>
    <mergeCell ref="J13:O13"/>
    <mergeCell ref="J14:K14"/>
    <mergeCell ref="L14:M14"/>
    <mergeCell ref="N14:O14"/>
  </mergeCells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 Qian</dc:creator>
  <cp:lastModifiedBy>Cheng Qian</cp:lastModifiedBy>
  <dcterms:created xsi:type="dcterms:W3CDTF">2026-01-07T23:12:35Z</dcterms:created>
  <dcterms:modified xsi:type="dcterms:W3CDTF">2026-01-08T04:19:05Z</dcterms:modified>
</cp:coreProperties>
</file>