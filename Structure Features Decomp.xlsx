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OneDrive\Documents\Dev_Projects\Use_cases_framework\decomp_yoy_growth\"/>
    </mc:Choice>
  </mc:AlternateContent>
  <xr:revisionPtr revIDLastSave="0" documentId="13_ncr:1_{E4BE9075-427D-4974-BA28-E53D0D55BBFD}" xr6:coauthVersionLast="47" xr6:coauthVersionMax="47" xr10:uidLastSave="{00000000-0000-0000-0000-000000000000}"/>
  <bookViews>
    <workbookView xWindow="-28920" yWindow="1800" windowWidth="29040" windowHeight="15720" xr2:uid="{FE4197CF-8EC4-4512-821C-5AFAFF34C94A}"/>
  </bookViews>
  <sheets>
    <sheet name="Sheet1 (3)" sheetId="5" r:id="rId1"/>
    <sheet name="Sheet2" sheetId="3" r:id="rId2"/>
    <sheet name="Sheet1 (2)" sheetId="2" r:id="rId3"/>
    <sheet name="Sheet1" sheetId="1" r:id="rId4"/>
    <sheet name="Sheet2 (2)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2" i="5" l="1"/>
  <c r="V22" i="5"/>
  <c r="X22" i="5"/>
  <c r="W22" i="5"/>
  <c r="J28" i="5"/>
  <c r="J22" i="5"/>
  <c r="C6" i="5"/>
  <c r="D6" i="5"/>
  <c r="E5" i="5"/>
  <c r="E4" i="5"/>
  <c r="D5" i="5"/>
  <c r="C5" i="5"/>
  <c r="M57" i="3"/>
  <c r="O27" i="5"/>
  <c r="P27" i="5"/>
  <c r="W27" i="5"/>
  <c r="W25" i="5"/>
  <c r="M56" i="3"/>
  <c r="M28" i="5"/>
  <c r="K28" i="5"/>
  <c r="F28" i="5"/>
  <c r="D28" i="5"/>
  <c r="Z27" i="5"/>
  <c r="Y27" i="5"/>
  <c r="N27" i="5"/>
  <c r="L27" i="5"/>
  <c r="J27" i="5" s="1"/>
  <c r="G27" i="5"/>
  <c r="E27" i="5"/>
  <c r="Z26" i="5"/>
  <c r="Y26" i="5"/>
  <c r="O26" i="5"/>
  <c r="N26" i="5"/>
  <c r="L26" i="5"/>
  <c r="J26" i="5"/>
  <c r="G26" i="5"/>
  <c r="E26" i="5"/>
  <c r="Z25" i="5"/>
  <c r="Y25" i="5"/>
  <c r="O25" i="5"/>
  <c r="N25" i="5"/>
  <c r="L25" i="5"/>
  <c r="J25" i="5"/>
  <c r="G25" i="5"/>
  <c r="E25" i="5"/>
  <c r="Z24" i="5"/>
  <c r="Y24" i="5"/>
  <c r="O24" i="5"/>
  <c r="N24" i="5"/>
  <c r="L24" i="5"/>
  <c r="J24" i="5" s="1"/>
  <c r="G24" i="5"/>
  <c r="E24" i="5"/>
  <c r="Z23" i="5"/>
  <c r="Y23" i="5"/>
  <c r="O23" i="5"/>
  <c r="N23" i="5"/>
  <c r="L23" i="5"/>
  <c r="G23" i="5"/>
  <c r="E23" i="5"/>
  <c r="Z22" i="5"/>
  <c r="Y22" i="5"/>
  <c r="O22" i="5"/>
  <c r="N22" i="5"/>
  <c r="L22" i="5"/>
  <c r="G22" i="5"/>
  <c r="E22" i="5"/>
  <c r="E3" i="5"/>
  <c r="V35" i="2"/>
  <c r="U35" i="2"/>
  <c r="R36" i="2"/>
  <c r="R35" i="2"/>
  <c r="B35" i="2" s="1"/>
  <c r="S35" i="2"/>
  <c r="I35" i="2"/>
  <c r="W35" i="2"/>
  <c r="D8" i="2"/>
  <c r="G28" i="3" s="1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3" i="3"/>
  <c r="M54" i="3"/>
  <c r="M55" i="3"/>
  <c r="M52" i="3"/>
  <c r="L53" i="3"/>
  <c r="L54" i="3"/>
  <c r="L55" i="3"/>
  <c r="L56" i="3"/>
  <c r="L57" i="3"/>
  <c r="L52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K52" i="3"/>
  <c r="M29" i="3"/>
  <c r="M30" i="3"/>
  <c r="M31" i="3"/>
  <c r="M32" i="3"/>
  <c r="M33" i="3"/>
  <c r="M28" i="3"/>
  <c r="L29" i="3"/>
  <c r="L30" i="3"/>
  <c r="L31" i="3"/>
  <c r="L32" i="3"/>
  <c r="L33" i="3"/>
  <c r="L28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K53" i="3"/>
  <c r="K54" i="3"/>
  <c r="K55" i="3"/>
  <c r="K56" i="3"/>
  <c r="K57" i="3"/>
  <c r="K29" i="3"/>
  <c r="K30" i="3"/>
  <c r="K31" i="3"/>
  <c r="K32" i="3"/>
  <c r="K33" i="3"/>
  <c r="K28" i="3"/>
  <c r="G52" i="3"/>
  <c r="B11" i="3"/>
  <c r="D29" i="3"/>
  <c r="D6" i="3"/>
  <c r="H3" i="3"/>
  <c r="H4" i="3"/>
  <c r="H5" i="3"/>
  <c r="H6" i="3"/>
  <c r="H7" i="3"/>
  <c r="H8" i="3"/>
  <c r="I4" i="3"/>
  <c r="I5" i="3"/>
  <c r="I6" i="3"/>
  <c r="I7" i="3"/>
  <c r="I8" i="3"/>
  <c r="I3" i="3"/>
  <c r="J4" i="3"/>
  <c r="J5" i="3"/>
  <c r="J6" i="3"/>
  <c r="J7" i="3"/>
  <c r="J8" i="3"/>
  <c r="J3" i="3"/>
  <c r="Y35" i="2"/>
  <c r="X35" i="2"/>
  <c r="N35" i="2"/>
  <c r="N40" i="2"/>
  <c r="K40" i="2"/>
  <c r="M40" i="2"/>
  <c r="L41" i="2"/>
  <c r="E41" i="2"/>
  <c r="J41" i="2"/>
  <c r="C41" i="2"/>
  <c r="Y40" i="2"/>
  <c r="F40" i="2"/>
  <c r="X40" i="2"/>
  <c r="D40" i="2"/>
  <c r="N39" i="2"/>
  <c r="Y39" i="2"/>
  <c r="M39" i="2"/>
  <c r="F39" i="2"/>
  <c r="X39" i="2"/>
  <c r="K39" i="2"/>
  <c r="D39" i="2"/>
  <c r="N38" i="2"/>
  <c r="Y38" i="2"/>
  <c r="M38" i="2"/>
  <c r="F38" i="2"/>
  <c r="X38" i="2"/>
  <c r="K38" i="2"/>
  <c r="D38" i="2"/>
  <c r="N37" i="2"/>
  <c r="Y37" i="2"/>
  <c r="M37" i="2"/>
  <c r="F37" i="2"/>
  <c r="X37" i="2"/>
  <c r="K37" i="2"/>
  <c r="D37" i="2"/>
  <c r="N36" i="2"/>
  <c r="Y36" i="2"/>
  <c r="M36" i="2"/>
  <c r="F36" i="2"/>
  <c r="X36" i="2"/>
  <c r="K36" i="2"/>
  <c r="D36" i="2"/>
  <c r="M35" i="2"/>
  <c r="F35" i="2"/>
  <c r="K35" i="2"/>
  <c r="D35" i="2"/>
  <c r="C5" i="2"/>
  <c r="B5" i="2"/>
  <c r="D4" i="2"/>
  <c r="D3" i="2"/>
  <c r="C5" i="1"/>
  <c r="E4" i="1"/>
  <c r="D8" i="1"/>
  <c r="D7" i="1"/>
  <c r="S17" i="1"/>
  <c r="W17" i="1"/>
  <c r="AC23" i="1"/>
  <c r="AC18" i="1"/>
  <c r="AC19" i="1"/>
  <c r="AC20" i="1"/>
  <c r="AC21" i="1"/>
  <c r="AC22" i="1"/>
  <c r="AC17" i="1"/>
  <c r="L23" i="1"/>
  <c r="J23" i="1"/>
  <c r="D23" i="1"/>
  <c r="B23" i="1"/>
  <c r="R17" i="1"/>
  <c r="M17" i="1"/>
  <c r="R18" i="1"/>
  <c r="R19" i="1"/>
  <c r="R20" i="1"/>
  <c r="R21" i="1"/>
  <c r="R22" i="1"/>
  <c r="N17" i="1"/>
  <c r="M22" i="1"/>
  <c r="M18" i="1"/>
  <c r="M19" i="1"/>
  <c r="M20" i="1"/>
  <c r="S20" i="1" s="1"/>
  <c r="W20" i="1" s="1"/>
  <c r="Z20" i="1" s="1"/>
  <c r="M21" i="1"/>
  <c r="N18" i="1"/>
  <c r="K18" i="1"/>
  <c r="K19" i="1"/>
  <c r="K20" i="1"/>
  <c r="K21" i="1"/>
  <c r="K22" i="1"/>
  <c r="K17" i="1"/>
  <c r="N22" i="1"/>
  <c r="N21" i="1"/>
  <c r="N20" i="1"/>
  <c r="N19" i="1"/>
  <c r="F18" i="1"/>
  <c r="F19" i="1"/>
  <c r="F20" i="1"/>
  <c r="F21" i="1"/>
  <c r="F22" i="1"/>
  <c r="F17" i="1"/>
  <c r="E18" i="1"/>
  <c r="S18" i="1" s="1"/>
  <c r="W18" i="1" s="1"/>
  <c r="Z18" i="1" s="1"/>
  <c r="E19" i="1"/>
  <c r="S19" i="1" s="1"/>
  <c r="W19" i="1" s="1"/>
  <c r="Z19" i="1" s="1"/>
  <c r="E20" i="1"/>
  <c r="E21" i="1"/>
  <c r="S21" i="1" s="1"/>
  <c r="W21" i="1" s="1"/>
  <c r="Z21" i="1" s="1"/>
  <c r="E22" i="1"/>
  <c r="E17" i="1"/>
  <c r="C18" i="1"/>
  <c r="C19" i="1"/>
  <c r="C20" i="1"/>
  <c r="C21" i="1"/>
  <c r="C22" i="1"/>
  <c r="C17" i="1"/>
  <c r="C4" i="1"/>
  <c r="B4" i="1"/>
  <c r="D3" i="1"/>
  <c r="D2" i="1"/>
  <c r="J23" i="5" l="1"/>
  <c r="P25" i="5"/>
  <c r="AA26" i="5"/>
  <c r="X26" i="5" s="1"/>
  <c r="U26" i="5" s="1"/>
  <c r="AA23" i="5"/>
  <c r="X23" i="5" s="1"/>
  <c r="U23" i="5" s="1"/>
  <c r="P26" i="5"/>
  <c r="W26" i="5" s="1"/>
  <c r="V26" i="5" s="1"/>
  <c r="S26" i="5" s="1"/>
  <c r="C26" i="5" s="1"/>
  <c r="E6" i="5"/>
  <c r="E28" i="5"/>
  <c r="G28" i="5"/>
  <c r="AA24" i="5"/>
  <c r="X24" i="5" s="1"/>
  <c r="U24" i="5" s="1"/>
  <c r="L28" i="5"/>
  <c r="AA22" i="5"/>
  <c r="U22" i="5" s="1"/>
  <c r="AA27" i="5"/>
  <c r="X27" i="5" s="1"/>
  <c r="U27" i="5" s="1"/>
  <c r="AA25" i="5"/>
  <c r="X25" i="5" s="1"/>
  <c r="U25" i="5" s="1"/>
  <c r="V27" i="5"/>
  <c r="S27" i="5" s="1"/>
  <c r="C27" i="5" s="1"/>
  <c r="T27" i="5"/>
  <c r="V25" i="5"/>
  <c r="S25" i="5" s="1"/>
  <c r="C25" i="5" s="1"/>
  <c r="T25" i="5"/>
  <c r="F5" i="5"/>
  <c r="P24" i="5"/>
  <c r="W24" i="5" s="1"/>
  <c r="P23" i="5"/>
  <c r="W23" i="5" s="1"/>
  <c r="P22" i="5"/>
  <c r="N28" i="5"/>
  <c r="I40" i="2"/>
  <c r="Z35" i="2"/>
  <c r="T35" i="2" s="1"/>
  <c r="O35" i="2"/>
  <c r="E5" i="2"/>
  <c r="Z36" i="2"/>
  <c r="W36" i="2" s="1"/>
  <c r="T36" i="2" s="1"/>
  <c r="Z39" i="2"/>
  <c r="W39" i="2" s="1"/>
  <c r="T39" i="2" s="1"/>
  <c r="I39" i="2"/>
  <c r="I37" i="2"/>
  <c r="O39" i="2"/>
  <c r="V39" i="2" s="1"/>
  <c r="D5" i="2"/>
  <c r="D6" i="2" s="1"/>
  <c r="Z37" i="2"/>
  <c r="W37" i="2" s="1"/>
  <c r="T37" i="2" s="1"/>
  <c r="D41" i="2"/>
  <c r="O40" i="2"/>
  <c r="V40" i="2" s="1"/>
  <c r="S40" i="2" s="1"/>
  <c r="F41" i="2"/>
  <c r="Z40" i="2"/>
  <c r="W40" i="2" s="1"/>
  <c r="T40" i="2" s="1"/>
  <c r="Z38" i="2"/>
  <c r="W38" i="2" s="1"/>
  <c r="T38" i="2" s="1"/>
  <c r="I38" i="2"/>
  <c r="I36" i="2"/>
  <c r="O36" i="2"/>
  <c r="V36" i="2" s="1"/>
  <c r="O38" i="2"/>
  <c r="V38" i="2" s="1"/>
  <c r="O37" i="2"/>
  <c r="V37" i="2" s="1"/>
  <c r="K41" i="2"/>
  <c r="M41" i="2"/>
  <c r="Z17" i="1"/>
  <c r="T19" i="1"/>
  <c r="X19" i="1" s="1"/>
  <c r="T20" i="1"/>
  <c r="X20" i="1" s="1"/>
  <c r="T21" i="1"/>
  <c r="X21" i="1" s="1"/>
  <c r="T22" i="1"/>
  <c r="X22" i="1" s="1"/>
  <c r="AA22" i="1" s="1"/>
  <c r="T18" i="1"/>
  <c r="X18" i="1" s="1"/>
  <c r="V22" i="1"/>
  <c r="S22" i="1"/>
  <c r="W22" i="1" s="1"/>
  <c r="V18" i="1"/>
  <c r="V21" i="1"/>
  <c r="V20" i="1"/>
  <c r="T17" i="1"/>
  <c r="X17" i="1" s="1"/>
  <c r="V19" i="1"/>
  <c r="V17" i="1"/>
  <c r="V23" i="1" s="1"/>
  <c r="C23" i="1"/>
  <c r="E23" i="1"/>
  <c r="M23" i="1"/>
  <c r="K23" i="1"/>
  <c r="D4" i="1"/>
  <c r="D5" i="1" s="1"/>
  <c r="E9" i="5" l="1"/>
  <c r="T26" i="5"/>
  <c r="T23" i="5"/>
  <c r="V23" i="5"/>
  <c r="S23" i="5" s="1"/>
  <c r="C23" i="5" s="1"/>
  <c r="V24" i="5"/>
  <c r="S24" i="5" s="1"/>
  <c r="C24" i="5" s="1"/>
  <c r="T24" i="5"/>
  <c r="I41" i="2"/>
  <c r="U40" i="2"/>
  <c r="U39" i="2"/>
  <c r="R39" i="2" s="1"/>
  <c r="B39" i="2" s="1"/>
  <c r="C6" i="2"/>
  <c r="B6" i="2" s="1"/>
  <c r="S39" i="2"/>
  <c r="D9" i="2"/>
  <c r="S38" i="2"/>
  <c r="U38" i="2"/>
  <c r="R38" i="2" s="1"/>
  <c r="B38" i="2" s="1"/>
  <c r="S36" i="2"/>
  <c r="U36" i="2"/>
  <c r="B36" i="2" s="1"/>
  <c r="S37" i="2"/>
  <c r="U37" i="2"/>
  <c r="R37" i="2" s="1"/>
  <c r="B37" i="2" s="1"/>
  <c r="Y17" i="1"/>
  <c r="AA17" i="1"/>
  <c r="Y22" i="1"/>
  <c r="AB22" i="1" s="1"/>
  <c r="Z22" i="1"/>
  <c r="Y18" i="1"/>
  <c r="AB18" i="1" s="1"/>
  <c r="AA18" i="1"/>
  <c r="Y21" i="1"/>
  <c r="AB21" i="1" s="1"/>
  <c r="AA21" i="1"/>
  <c r="Y20" i="1"/>
  <c r="AB20" i="1" s="1"/>
  <c r="AA20" i="1"/>
  <c r="Y19" i="1"/>
  <c r="AB19" i="1" s="1"/>
  <c r="AA19" i="1"/>
  <c r="AB17" i="1"/>
  <c r="AB23" i="1" s="1"/>
  <c r="Y23" i="1"/>
  <c r="E8" i="5" l="1"/>
  <c r="S22" i="5"/>
  <c r="V28" i="5"/>
  <c r="U41" i="2"/>
  <c r="R40" i="2"/>
  <c r="B40" i="2" s="1"/>
  <c r="S28" i="5" l="1"/>
  <c r="C22" i="5"/>
  <c r="C28" i="5" s="1"/>
  <c r="R41" i="2"/>
  <c r="B41" i="2" l="1"/>
</calcChain>
</file>

<file path=xl/sharedStrings.xml><?xml version="1.0" encoding="utf-8"?>
<sst xmlns="http://schemas.openxmlformats.org/spreadsheetml/2006/main" count="380" uniqueCount="108">
  <si>
    <t>Sales</t>
  </si>
  <si>
    <t>GCS</t>
  </si>
  <si>
    <t>ACS</t>
  </si>
  <si>
    <t>YoY</t>
  </si>
  <si>
    <t>Contribution</t>
  </si>
  <si>
    <t>Daypart</t>
  </si>
  <si>
    <t>Breakfast</t>
  </si>
  <si>
    <t>Lunch</t>
  </si>
  <si>
    <t>Snack</t>
  </si>
  <si>
    <t>Dinner</t>
  </si>
  <si>
    <t>Evening</t>
  </si>
  <si>
    <t>Late Night</t>
  </si>
  <si>
    <t>Value</t>
  </si>
  <si>
    <t>Share</t>
  </si>
  <si>
    <t>Total</t>
  </si>
  <si>
    <t>ACS (delta)</t>
  </si>
  <si>
    <t>GCS (delta)</t>
  </si>
  <si>
    <t>Mix contrib</t>
  </si>
  <si>
    <t>Customers shift toward/away from breakfast, holding breakfast’s price/ticket fixed at last year’s level.</t>
  </si>
  <si>
    <t>Mix contrib:</t>
  </si>
  <si>
    <t>Interpretation: Breakfast gained traffic share (22% → 25%). Since breakfast has a relatively high ticket ($13.15), that mix shift pushes overall ACS up.</t>
  </si>
  <si>
    <t>Within contrib</t>
  </si>
  <si>
    <t>Keep the new mix (2024 shares), and ask: did breakfast ticket change inside breakfast?</t>
  </si>
  <si>
    <t>Breakfast’s ticket fell slightly (13.15 → 13.13), so within-breakfast changes slightly pull overall ACS down.</t>
  </si>
  <si>
    <t>Total contrib</t>
  </si>
  <si>
    <t>Total contrib PP</t>
  </si>
  <si>
    <t>Mix contrib PP</t>
  </si>
  <si>
    <t>Within contrib PP</t>
  </si>
  <si>
    <t>“Average check increased by 1.33% year over year.
When we decompose that change, X% came from customers shifting across segments, and Y% came from higher ticket within segments.</t>
  </si>
  <si>
    <r>
      <t>GCS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</si>
  <si>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ACS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</si>
  <si>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ACS Mix contrib</t>
    </r>
    <r>
      <rPr>
        <vertAlign val="superscript"/>
        <sz val="11"/>
        <color theme="1"/>
        <rFont val="Calibri"/>
        <family val="2"/>
        <scheme val="minor"/>
      </rPr>
      <t>3</t>
    </r>
  </si>
  <si>
    <r>
      <t>ACS Within contrib</t>
    </r>
    <r>
      <rPr>
        <vertAlign val="superscript"/>
        <sz val="11"/>
        <color theme="1"/>
        <rFont val="Calibri"/>
        <family val="2"/>
        <scheme val="minor"/>
      </rPr>
      <t>4</t>
    </r>
  </si>
  <si>
    <t>Contributions came from a combination of steady growth in large, high-share segments and outsized growth in smaller segments, which together lifted overall traffic despite some offsetting declines.</t>
  </si>
  <si>
    <t>This reflects changes in where customers purchased and how much they spent per visit, with the compounding effect between traffic and ticket allocated evenly across the two drivers.</t>
  </si>
  <si>
    <t>³ ACS Mix Contribution ( +3.15pp ) — “Customer shift effect”</t>
  </si>
  <si>
    <t>Customer mix shifts contributed positively to average check growth (+3.15pp), as customers moved toward higher-ticket segments.</t>
  </si>
  <si>
    <t>This effect reflects changes in traffic allocation across segments, holding segment-level prices constant.</t>
  </si>
  <si>
    <t>⁴ ACS Within Contribution ( −1.82pp ) — “Within-segment ticket pressure”</t>
  </si>
  <si>
    <t>Within-segment changes reduced average check growth (−1.82pp), indicating that ticket size declined or remained pressured inside segments.</t>
  </si>
  <si>
    <r>
      <t xml:space="preserve">This offset a portion of the favorable mix impact and suggests </t>
    </r>
    <r>
      <rPr>
        <sz val="11"/>
        <color theme="1"/>
        <rFont val="Calibri"/>
        <family val="2"/>
        <scheme val="minor"/>
      </rPr>
      <t>offsetting dynamics within segments (e.g., pricing, discounting, or product mix changes).</t>
    </r>
  </si>
  <si>
    <t>YoY %</t>
  </si>
  <si>
    <t>YoY (delta)</t>
  </si>
  <si>
    <t>ACS value</t>
  </si>
  <si>
    <t>SALES</t>
  </si>
  <si>
    <t>TOTAL</t>
  </si>
  <si>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ACS Contribution ( +1.34pp ) — “Ticket effect”
Average check growth contributed +1.34pp to sales growth, slightly more than traffic.</t>
    </r>
  </si>
  <si>
    <r>
      <rPr>
        <i/>
        <vertAlign val="super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 xml:space="preserve"> GCS contribution (+1.27pp): Traffic Effect. Sales growth was driven in part by higher guest counts (+1.27pp), reflecting broad-based traffic increases.</t>
    </r>
  </si>
  <si>
    <t>1 GCS contribution (pp) = Base-year GCS share × Within-daypart YoY growth</t>
  </si>
  <si>
    <t>Breakfast combined meaningful scale (over one-fifth of traffic) with strong positive growth. Breakfast was a key driver of traffic growth, contributing +3.3pp, supported by strong within-daypart growth on a large base. The rising share in 2024 reinforces that this was not a niche effect; breakfast demand strengthened and became more central to total traffic.</t>
  </si>
  <si>
    <t>Dinner was the largest drag on traffic, contributing −4.6pp, as declines in the largest daypart outweighed gains elsewhere.</t>
  </si>
  <si>
    <t>ACS contribution (pp) = ACS YoY % + ½ × (GCS YoY % × ACS YoY %)</t>
  </si>
  <si>
    <t>ACS mix contribution = Change in GCS share × Base-period segment ACS</t>
  </si>
  <si>
    <t>ACS within contribution = Current-period GCS share × Change in segment ACS</t>
  </si>
  <si>
    <t>ACS contribution = ACS mix contribution + ACS within contribution</t>
  </si>
  <si>
    <t>YoY 23 vs 24</t>
  </si>
  <si>
    <t>1.2 PP</t>
  </si>
  <si>
    <t>Dayparts</t>
  </si>
  <si>
    <t>Channels</t>
  </si>
  <si>
    <t>Product 
Categories</t>
  </si>
  <si>
    <t>Mobile</t>
  </si>
  <si>
    <t>Delivery</t>
  </si>
  <si>
    <t>Front Counter</t>
  </si>
  <si>
    <t>Drive Thru</t>
  </si>
  <si>
    <t>Kiosk</t>
  </si>
  <si>
    <t>Mccafe</t>
  </si>
  <si>
    <t>Other</t>
  </si>
  <si>
    <t>Dessert</t>
  </si>
  <si>
    <t>Beef</t>
  </si>
  <si>
    <t>Chicken</t>
  </si>
  <si>
    <t>Drink</t>
  </si>
  <si>
    <t>Others</t>
  </si>
  <si>
    <t>0.0 PP</t>
  </si>
  <si>
    <t>-0.1PP</t>
  </si>
  <si>
    <t>0.2 PP</t>
  </si>
  <si>
    <t>-0.3 PP</t>
  </si>
  <si>
    <t>1.0 PP</t>
  </si>
  <si>
    <t>0.9 PP</t>
  </si>
  <si>
    <t>-0.2 PP</t>
  </si>
  <si>
    <t>2.3 PP</t>
  </si>
  <si>
    <t>0.6 PP</t>
  </si>
  <si>
    <t>-2.4 PP</t>
  </si>
  <si>
    <t>3.9 PP</t>
  </si>
  <si>
    <t>-0.1 PP</t>
  </si>
  <si>
    <t>-0.6 PP</t>
  </si>
  <si>
    <t>2023 share</t>
  </si>
  <si>
    <t>2024 YoY</t>
  </si>
  <si>
    <t>Mix Effect</t>
  </si>
  <si>
    <t>Within Effect</t>
  </si>
  <si>
    <t>Segment2</t>
  </si>
  <si>
    <t>Segment3</t>
  </si>
  <si>
    <t>2023 ACS</t>
  </si>
  <si>
    <t>2024 YoY %</t>
  </si>
  <si>
    <t>YoY GC share delta</t>
  </si>
  <si>
    <t>2024 GC Share</t>
  </si>
  <si>
    <t>YoY ACS delta</t>
  </si>
  <si>
    <t>Segment1</t>
  </si>
  <si>
    <t>Traffic effect</t>
  </si>
  <si>
    <t>Ticket effect</t>
  </si>
  <si>
    <t>Customer shift effect</t>
  </si>
  <si>
    <t>Within segment, ACS behavior</t>
  </si>
  <si>
    <t>(pricing, promo, items)</t>
  </si>
  <si>
    <t>(upgrading/downgrading)</t>
  </si>
  <si>
    <t>to higher/lower ticket segment</t>
  </si>
  <si>
    <t>1 Traffic Effect: GCS contribution (pp) = Base-year GCS share × Within-daypart YoY growth</t>
  </si>
  <si>
    <t>2 Ticket Effect: ACS contribution = ACS mix contribution + ACS within contribution</t>
  </si>
  <si>
    <t>3 Customer shift effect: ACS mix contribution = Change in GCS share × Base-period segment ACS; Holding segment-level ACS constant as last year, customers moved toward/away higher-ticket segment</t>
  </si>
  <si>
    <t>4 Within-segment ticket pressure: ACS within contribution = Current-period GCS share × Change in segment 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</si>
</sst>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_(&quot;$&quot;* #,##0.000_);_(&quot;$&quot;* \(#,##0.000\);_(&quot;$&quot;* &quot;-&quot;??_);_(@_)"/>
    <numFmt numFmtId="168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4">
    <xf numFmtId="0" fontId="0" fillId="0" borderId="0" xfId="0"/>
    <xf numFmtId="9" fontId="0" fillId="0" borderId="0" xfId="3" applyFont="1"/>
    <xf numFmtId="10" fontId="0" fillId="0" borderId="0" xfId="3" applyNumberFormat="1" applyFont="1"/>
    <xf numFmtId="44" fontId="0" fillId="0" borderId="0" xfId="2" applyFont="1"/>
    <xf numFmtId="165" fontId="0" fillId="0" borderId="0" xfId="2" applyNumberFormat="1" applyFont="1"/>
    <xf numFmtId="166" fontId="0" fillId="0" borderId="0" xfId="1" applyNumberFormat="1" applyFont="1"/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165" fontId="0" fillId="0" borderId="3" xfId="0" applyNumberFormat="1" applyBorder="1"/>
    <xf numFmtId="164" fontId="0" fillId="0" borderId="4" xfId="3" applyNumberFormat="1" applyFont="1" applyBorder="1"/>
    <xf numFmtId="165" fontId="0" fillId="0" borderId="5" xfId="0" applyNumberFormat="1" applyBorder="1"/>
    <xf numFmtId="164" fontId="0" fillId="0" borderId="6" xfId="3" applyNumberFormat="1" applyFont="1" applyBorder="1"/>
    <xf numFmtId="166" fontId="0" fillId="0" borderId="3" xfId="0" applyNumberFormat="1" applyBorder="1"/>
    <xf numFmtId="166" fontId="0" fillId="0" borderId="5" xfId="0" applyNumberFormat="1" applyBorder="1"/>
    <xf numFmtId="44" fontId="0" fillId="0" borderId="3" xfId="2" applyFont="1" applyBorder="1"/>
    <xf numFmtId="44" fontId="0" fillId="0" borderId="5" xfId="2" applyFont="1" applyBorder="1"/>
    <xf numFmtId="0" fontId="0" fillId="0" borderId="6" xfId="0" applyBorder="1"/>
    <xf numFmtId="0" fontId="2" fillId="0" borderId="0" xfId="0" applyFont="1"/>
    <xf numFmtId="165" fontId="2" fillId="0" borderId="0" xfId="0" applyNumberFormat="1" applyFont="1"/>
    <xf numFmtId="9" fontId="2" fillId="0" borderId="0" xfId="3" applyFont="1"/>
    <xf numFmtId="0" fontId="0" fillId="0" borderId="7" xfId="0" applyBorder="1" applyAlignment="1">
      <alignment horizontal="center"/>
    </xf>
    <xf numFmtId="164" fontId="0" fillId="0" borderId="0" xfId="3" applyNumberFormat="1" applyFont="1" applyBorder="1"/>
    <xf numFmtId="0" fontId="0" fillId="0" borderId="5" xfId="0" applyBorder="1"/>
    <xf numFmtId="164" fontId="0" fillId="0" borderId="8" xfId="3" applyNumberFormat="1" applyFont="1" applyBorder="1"/>
    <xf numFmtId="0" fontId="0" fillId="0" borderId="0" xfId="0" applyAlignment="1">
      <alignment horizontal="center"/>
    </xf>
    <xf numFmtId="10" fontId="2" fillId="0" borderId="0" xfId="3" applyNumberFormat="1" applyFont="1"/>
    <xf numFmtId="168" fontId="0" fillId="0" borderId="0" xfId="3" applyNumberFormat="1" applyFont="1"/>
    <xf numFmtId="44" fontId="0" fillId="0" borderId="4" xfId="0" applyNumberFormat="1" applyBorder="1"/>
    <xf numFmtId="43" fontId="0" fillId="0" borderId="0" xfId="1" applyFont="1" applyBorder="1"/>
    <xf numFmtId="167" fontId="0" fillId="0" borderId="0" xfId="0" applyNumberFormat="1"/>
    <xf numFmtId="44" fontId="2" fillId="0" borderId="0" xfId="0" applyNumberFormat="1" applyFont="1"/>
    <xf numFmtId="44" fontId="0" fillId="0" borderId="8" xfId="0" applyNumberFormat="1" applyBorder="1"/>
    <xf numFmtId="167" fontId="0" fillId="0" borderId="8" xfId="0" applyNumberFormat="1" applyBorder="1"/>
    <xf numFmtId="44" fontId="0" fillId="0" borderId="3" xfId="0" applyNumberFormat="1" applyBorder="1"/>
    <xf numFmtId="44" fontId="0" fillId="0" borderId="5" xfId="0" applyNumberFormat="1" applyBorder="1"/>
    <xf numFmtId="0" fontId="0" fillId="0" borderId="9" xfId="0" applyBorder="1"/>
    <xf numFmtId="0" fontId="0" fillId="0" borderId="10" xfId="0" applyBorder="1"/>
    <xf numFmtId="0" fontId="2" fillId="0" borderId="10" xfId="0" applyFont="1" applyBorder="1"/>
    <xf numFmtId="164" fontId="2" fillId="0" borderId="10" xfId="3" applyNumberFormat="1" applyFont="1" applyBorder="1"/>
    <xf numFmtId="164" fontId="2" fillId="0" borderId="11" xfId="3" applyNumberFormat="1" applyFont="1" applyBorder="1"/>
    <xf numFmtId="164" fontId="2" fillId="0" borderId="4" xfId="0" applyNumberFormat="1" applyFont="1" applyBorder="1"/>
    <xf numFmtId="164" fontId="2" fillId="0" borderId="6" xfId="0" applyNumberFormat="1" applyFont="1" applyBorder="1"/>
    <xf numFmtId="0" fontId="2" fillId="0" borderId="4" xfId="0" applyFont="1" applyBorder="1"/>
    <xf numFmtId="43" fontId="0" fillId="0" borderId="8" xfId="1" applyFont="1" applyBorder="1"/>
    <xf numFmtId="44" fontId="0" fillId="0" borderId="6" xfId="0" applyNumberFormat="1" applyBorder="1"/>
    <xf numFmtId="164" fontId="0" fillId="0" borderId="0" xfId="1" applyNumberFormat="1" applyFont="1" applyBorder="1"/>
    <xf numFmtId="10" fontId="2" fillId="2" borderId="15" xfId="3" applyNumberFormat="1" applyFont="1" applyFill="1" applyBorder="1"/>
    <xf numFmtId="10" fontId="2" fillId="3" borderId="16" xfId="3" applyNumberFormat="1" applyFont="1" applyFill="1" applyBorder="1"/>
    <xf numFmtId="0" fontId="2" fillId="0" borderId="15" xfId="0" applyFont="1" applyBorder="1"/>
    <xf numFmtId="10" fontId="2" fillId="0" borderId="17" xfId="0" applyNumberFormat="1" applyFont="1" applyBorder="1"/>
    <xf numFmtId="168" fontId="0" fillId="0" borderId="0" xfId="3" applyNumberFormat="1" applyFont="1" applyFill="1"/>
    <xf numFmtId="10" fontId="0" fillId="0" borderId="0" xfId="3" applyNumberFormat="1" applyFont="1" applyFill="1"/>
    <xf numFmtId="0" fontId="4" fillId="0" borderId="0" xfId="0" applyFont="1"/>
    <xf numFmtId="0" fontId="5" fillId="0" borderId="0" xfId="0" applyFont="1"/>
    <xf numFmtId="9" fontId="0" fillId="0" borderId="0" xfId="3" applyFont="1" applyBorder="1"/>
    <xf numFmtId="0" fontId="0" fillId="0" borderId="18" xfId="0" applyBorder="1"/>
    <xf numFmtId="0" fontId="0" fillId="0" borderId="19" xfId="0" applyBorder="1"/>
    <xf numFmtId="168" fontId="0" fillId="0" borderId="19" xfId="3" applyNumberFormat="1" applyFont="1" applyBorder="1"/>
    <xf numFmtId="10" fontId="0" fillId="3" borderId="20" xfId="3" applyNumberFormat="1" applyFont="1" applyFill="1" applyBorder="1"/>
    <xf numFmtId="0" fontId="0" fillId="0" borderId="21" xfId="0" applyBorder="1"/>
    <xf numFmtId="0" fontId="0" fillId="0" borderId="22" xfId="0" applyBorder="1"/>
    <xf numFmtId="168" fontId="0" fillId="0" borderId="22" xfId="3" applyNumberFormat="1" applyFont="1" applyBorder="1"/>
    <xf numFmtId="10" fontId="0" fillId="3" borderId="23" xfId="3" applyNumberFormat="1" applyFont="1" applyFill="1" applyBorder="1"/>
    <xf numFmtId="165" fontId="0" fillId="0" borderId="0" xfId="0" applyNumberFormat="1"/>
    <xf numFmtId="10" fontId="2" fillId="0" borderId="0" xfId="3" applyNumberFormat="1" applyFont="1" applyBorder="1"/>
    <xf numFmtId="9" fontId="2" fillId="0" borderId="0" xfId="3" applyFont="1" applyBorder="1"/>
    <xf numFmtId="0" fontId="2" fillId="0" borderId="24" xfId="0" applyFont="1" applyBorder="1"/>
    <xf numFmtId="0" fontId="0" fillId="0" borderId="25" xfId="0" applyBorder="1"/>
    <xf numFmtId="0" fontId="0" fillId="0" borderId="26" xfId="0" applyBorder="1"/>
    <xf numFmtId="0" fontId="2" fillId="0" borderId="18" xfId="0" applyFont="1" applyBorder="1"/>
    <xf numFmtId="0" fontId="0" fillId="0" borderId="27" xfId="0" applyBorder="1"/>
    <xf numFmtId="0" fontId="0" fillId="0" borderId="27" xfId="0" applyBorder="1" applyAlignment="1">
      <alignment horizontal="left"/>
    </xf>
    <xf numFmtId="164" fontId="2" fillId="0" borderId="27" xfId="0" applyNumberFormat="1" applyFont="1" applyBorder="1"/>
    <xf numFmtId="164" fontId="2" fillId="0" borderId="21" xfId="0" applyNumberFormat="1" applyFont="1" applyBorder="1"/>
    <xf numFmtId="0" fontId="0" fillId="0" borderId="28" xfId="0" applyBorder="1"/>
    <xf numFmtId="165" fontId="0" fillId="0" borderId="27" xfId="0" applyNumberFormat="1" applyBorder="1"/>
    <xf numFmtId="164" fontId="0" fillId="0" borderId="28" xfId="3" applyNumberFormat="1" applyFont="1" applyBorder="1"/>
    <xf numFmtId="165" fontId="0" fillId="0" borderId="21" xfId="0" applyNumberFormat="1" applyBorder="1"/>
    <xf numFmtId="165" fontId="0" fillId="0" borderId="22" xfId="0" applyNumberFormat="1" applyBorder="1"/>
    <xf numFmtId="164" fontId="0" fillId="0" borderId="23" xfId="3" applyNumberFormat="1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4" fontId="2" fillId="0" borderId="25" xfId="3" applyNumberFormat="1" applyFont="1" applyBorder="1"/>
    <xf numFmtId="164" fontId="2" fillId="0" borderId="26" xfId="3" applyNumberFormat="1" applyFont="1" applyBorder="1"/>
    <xf numFmtId="164" fontId="2" fillId="0" borderId="27" xfId="3" applyNumberFormat="1" applyFont="1" applyBorder="1"/>
    <xf numFmtId="164" fontId="2" fillId="0" borderId="21" xfId="3" applyNumberFormat="1" applyFont="1" applyBorder="1"/>
    <xf numFmtId="166" fontId="0" fillId="0" borderId="27" xfId="0" applyNumberFormat="1" applyBorder="1"/>
    <xf numFmtId="166" fontId="0" fillId="0" borderId="21" xfId="0" applyNumberFormat="1" applyBorder="1"/>
    <xf numFmtId="164" fontId="0" fillId="0" borderId="27" xfId="3" applyNumberFormat="1" applyFont="1" applyBorder="1"/>
    <xf numFmtId="9" fontId="0" fillId="0" borderId="28" xfId="3" applyFont="1" applyBorder="1"/>
    <xf numFmtId="164" fontId="0" fillId="0" borderId="21" xfId="3" applyNumberFormat="1" applyFont="1" applyBorder="1"/>
    <xf numFmtId="9" fontId="0" fillId="0" borderId="23" xfId="3" applyFont="1" applyBorder="1"/>
    <xf numFmtId="44" fontId="0" fillId="0" borderId="0" xfId="2" applyFont="1" applyBorder="1"/>
    <xf numFmtId="0" fontId="2" fillId="0" borderId="24" xfId="0" applyFont="1" applyBorder="1" applyAlignment="1">
      <alignment horizontal="left"/>
    </xf>
    <xf numFmtId="44" fontId="0" fillId="0" borderId="27" xfId="0" applyNumberFormat="1" applyBorder="1"/>
    <xf numFmtId="44" fontId="0" fillId="0" borderId="21" xfId="0" applyNumberFormat="1" applyBorder="1"/>
    <xf numFmtId="44" fontId="0" fillId="0" borderId="22" xfId="0" applyNumberFormat="1" applyBorder="1"/>
    <xf numFmtId="167" fontId="0" fillId="0" borderId="22" xfId="0" applyNumberFormat="1" applyBorder="1"/>
    <xf numFmtId="44" fontId="0" fillId="0" borderId="27" xfId="2" applyFont="1" applyBorder="1"/>
    <xf numFmtId="44" fontId="0" fillId="0" borderId="28" xfId="0" applyNumberFormat="1" applyBorder="1"/>
    <xf numFmtId="44" fontId="0" fillId="0" borderId="21" xfId="2" applyFont="1" applyBorder="1"/>
    <xf numFmtId="44" fontId="0" fillId="0" borderId="22" xfId="2" applyFont="1" applyBorder="1"/>
    <xf numFmtId="44" fontId="0" fillId="0" borderId="23" xfId="0" applyNumberForma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68" fontId="0" fillId="0" borderId="0" xfId="3" applyNumberFormat="1" applyFont="1" applyFill="1" applyBorder="1"/>
    <xf numFmtId="10" fontId="0" fillId="0" borderId="0" xfId="3" applyNumberFormat="1" applyFont="1" applyFill="1" applyBorder="1"/>
    <xf numFmtId="0" fontId="0" fillId="4" borderId="0" xfId="0" applyFill="1"/>
    <xf numFmtId="0" fontId="7" fillId="4" borderId="0" xfId="0" applyFont="1" applyFill="1" applyAlignment="1">
      <alignment horizontal="left"/>
    </xf>
    <xf numFmtId="10" fontId="7" fillId="4" borderId="0" xfId="0" applyNumberFormat="1" applyFont="1" applyFill="1" applyAlignment="1">
      <alignment horizontal="left"/>
    </xf>
    <xf numFmtId="0" fontId="2" fillId="4" borderId="0" xfId="0" applyFont="1" applyFill="1"/>
    <xf numFmtId="0" fontId="2" fillId="4" borderId="0" xfId="0" quotePrefix="1" applyFont="1" applyFill="1"/>
    <xf numFmtId="164" fontId="0" fillId="4" borderId="0" xfId="0" applyNumberFormat="1" applyFill="1"/>
    <xf numFmtId="164" fontId="0" fillId="5" borderId="0" xfId="0" applyNumberFormat="1" applyFill="1"/>
    <xf numFmtId="0" fontId="2" fillId="5" borderId="0" xfId="0" applyFont="1" applyFill="1"/>
    <xf numFmtId="0" fontId="7" fillId="6" borderId="24" xfId="0" applyFont="1" applyFill="1" applyBorder="1" applyAlignment="1">
      <alignment horizontal="left"/>
    </xf>
    <xf numFmtId="10" fontId="7" fillId="6" borderId="26" xfId="0" applyNumberFormat="1" applyFont="1" applyFill="1" applyBorder="1" applyAlignment="1">
      <alignment horizontal="left"/>
    </xf>
    <xf numFmtId="0" fontId="0" fillId="6" borderId="18" xfId="0" applyFill="1" applyBorder="1"/>
    <xf numFmtId="0" fontId="0" fillId="6" borderId="19" xfId="0" applyFill="1" applyBorder="1"/>
    <xf numFmtId="0" fontId="0" fillId="6" borderId="19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0" fontId="2" fillId="6" borderId="27" xfId="0" applyFont="1" applyFill="1" applyBorder="1"/>
    <xf numFmtId="0" fontId="0" fillId="6" borderId="0" xfId="0" applyFill="1"/>
    <xf numFmtId="0" fontId="2" fillId="6" borderId="0" xfId="0" applyFont="1" applyFill="1"/>
    <xf numFmtId="164" fontId="0" fillId="6" borderId="0" xfId="0" applyNumberFormat="1" applyFill="1"/>
    <xf numFmtId="164" fontId="0" fillId="6" borderId="28" xfId="0" applyNumberFormat="1" applyFill="1" applyBorder="1"/>
    <xf numFmtId="0" fontId="2" fillId="6" borderId="27" xfId="0" applyFont="1" applyFill="1" applyBorder="1" applyAlignment="1">
      <alignment horizontal="left"/>
    </xf>
    <xf numFmtId="0" fontId="0" fillId="6" borderId="27" xfId="0" applyFill="1" applyBorder="1"/>
    <xf numFmtId="0" fontId="0" fillId="6" borderId="21" xfId="0" applyFill="1" applyBorder="1"/>
    <xf numFmtId="0" fontId="0" fillId="6" borderId="22" xfId="0" applyFill="1" applyBorder="1"/>
    <xf numFmtId="0" fontId="2" fillId="6" borderId="22" xfId="0" applyFont="1" applyFill="1" applyBorder="1"/>
    <xf numFmtId="164" fontId="0" fillId="6" borderId="22" xfId="0" applyNumberFormat="1" applyFill="1" applyBorder="1"/>
    <xf numFmtId="164" fontId="0" fillId="6" borderId="23" xfId="0" applyNumberFormat="1" applyFill="1" applyBorder="1"/>
    <xf numFmtId="0" fontId="7" fillId="2" borderId="24" xfId="0" applyFont="1" applyFill="1" applyBorder="1" applyAlignment="1">
      <alignment horizontal="left"/>
    </xf>
    <xf numFmtId="10" fontId="7" fillId="2" borderId="26" xfId="0" applyNumberFormat="1" applyFont="1" applyFill="1" applyBorder="1" applyAlignment="1">
      <alignment horizontal="left"/>
    </xf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8" xfId="0" applyFont="1" applyFill="1" applyBorder="1"/>
    <xf numFmtId="164" fontId="0" fillId="2" borderId="19" xfId="0" applyNumberFormat="1" applyFill="1" applyBorder="1"/>
    <xf numFmtId="0" fontId="0" fillId="2" borderId="19" xfId="0" applyFill="1" applyBorder="1"/>
    <xf numFmtId="0" fontId="0" fillId="2" borderId="20" xfId="0" applyFill="1" applyBorder="1"/>
    <xf numFmtId="0" fontId="2" fillId="2" borderId="27" xfId="0" applyFont="1" applyFill="1" applyBorder="1"/>
    <xf numFmtId="0" fontId="0" fillId="2" borderId="0" xfId="0" applyFill="1"/>
    <xf numFmtId="0" fontId="2" fillId="2" borderId="0" xfId="0" applyFont="1" applyFill="1"/>
    <xf numFmtId="44" fontId="0" fillId="2" borderId="0" xfId="0" applyNumberFormat="1" applyFill="1"/>
    <xf numFmtId="9" fontId="0" fillId="2" borderId="0" xfId="0" applyNumberFormat="1" applyFill="1"/>
    <xf numFmtId="0" fontId="0" fillId="2" borderId="28" xfId="0" applyFill="1" applyBorder="1"/>
    <xf numFmtId="0" fontId="0" fillId="2" borderId="27" xfId="0" applyFill="1" applyBorder="1"/>
    <xf numFmtId="0" fontId="0" fillId="2" borderId="21" xfId="0" applyFill="1" applyBorder="1"/>
    <xf numFmtId="0" fontId="0" fillId="2" borderId="22" xfId="0" applyFill="1" applyBorder="1"/>
    <xf numFmtId="0" fontId="2" fillId="2" borderId="22" xfId="0" applyFont="1" applyFill="1" applyBorder="1"/>
    <xf numFmtId="44" fontId="0" fillId="2" borderId="22" xfId="0" applyNumberFormat="1" applyFill="1" applyBorder="1"/>
    <xf numFmtId="9" fontId="0" fillId="2" borderId="22" xfId="0" applyNumberFormat="1" applyFill="1" applyBorder="1"/>
    <xf numFmtId="0" fontId="0" fillId="2" borderId="23" xfId="0" applyFill="1" applyBorder="1"/>
    <xf numFmtId="0" fontId="7" fillId="7" borderId="24" xfId="0" applyFont="1" applyFill="1" applyBorder="1" applyAlignment="1">
      <alignment horizontal="left"/>
    </xf>
    <xf numFmtId="10" fontId="7" fillId="7" borderId="25" xfId="0" applyNumberFormat="1" applyFont="1" applyFill="1" applyBorder="1" applyAlignment="1">
      <alignment horizontal="left"/>
    </xf>
    <xf numFmtId="0" fontId="0" fillId="7" borderId="26" xfId="0" applyFill="1" applyBorder="1"/>
    <xf numFmtId="0" fontId="2" fillId="8" borderId="15" xfId="0" applyFont="1" applyFill="1" applyBorder="1"/>
    <xf numFmtId="0" fontId="2" fillId="8" borderId="16" xfId="0" applyFont="1" applyFill="1" applyBorder="1"/>
    <xf numFmtId="0" fontId="0" fillId="8" borderId="18" xfId="0" applyFill="1" applyBorder="1"/>
    <xf numFmtId="0" fontId="0" fillId="8" borderId="19" xfId="0" applyFill="1" applyBorder="1"/>
    <xf numFmtId="164" fontId="0" fillId="8" borderId="19" xfId="0" applyNumberFormat="1" applyFill="1" applyBorder="1"/>
    <xf numFmtId="0" fontId="0" fillId="8" borderId="20" xfId="0" applyFill="1" applyBorder="1"/>
    <xf numFmtId="0" fontId="2" fillId="8" borderId="27" xfId="0" applyFont="1" applyFill="1" applyBorder="1"/>
    <xf numFmtId="0" fontId="0" fillId="8" borderId="0" xfId="0" applyFill="1"/>
    <xf numFmtId="0" fontId="2" fillId="8" borderId="0" xfId="0" applyFont="1" applyFill="1"/>
    <xf numFmtId="44" fontId="0" fillId="8" borderId="0" xfId="0" applyNumberFormat="1" applyFill="1"/>
    <xf numFmtId="44" fontId="0" fillId="8" borderId="28" xfId="0" applyNumberFormat="1" applyFill="1" applyBorder="1"/>
    <xf numFmtId="0" fontId="0" fillId="8" borderId="27" xfId="0" applyFill="1" applyBorder="1"/>
    <xf numFmtId="0" fontId="0" fillId="8" borderId="28" xfId="0" applyFill="1" applyBorder="1"/>
    <xf numFmtId="0" fontId="0" fillId="8" borderId="21" xfId="0" applyFill="1" applyBorder="1"/>
    <xf numFmtId="0" fontId="0" fillId="8" borderId="22" xfId="0" applyFill="1" applyBorder="1"/>
    <xf numFmtId="0" fontId="2" fillId="8" borderId="22" xfId="0" applyFont="1" applyFill="1" applyBorder="1"/>
    <xf numFmtId="44" fontId="0" fillId="8" borderId="22" xfId="0" applyNumberFormat="1" applyFill="1" applyBorder="1"/>
    <xf numFmtId="0" fontId="0" fillId="8" borderId="23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5" borderId="28" xfId="0" applyFont="1" applyFill="1" applyBorder="1" applyAlignment="1">
      <alignment horizontal="center" vertical="center"/>
    </xf>
    <xf numFmtId="164" fontId="0" fillId="8" borderId="0" xfId="3" applyNumberFormat="1" applyFont="1" applyFill="1"/>
    <xf numFmtId="164" fontId="0" fillId="8" borderId="22" xfId="3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694F-1D62-45C8-B8AD-5E7927A4D65C}">
  <sheetPr>
    <tabColor rgb="FFFFC000"/>
  </sheetPr>
  <dimension ref="A1:AA39"/>
  <sheetViews>
    <sheetView tabSelected="1" workbookViewId="0">
      <selection activeCell="E6" sqref="E6"/>
    </sheetView>
  </sheetViews>
  <sheetFormatPr defaultRowHeight="14.5" x14ac:dyDescent="0.35"/>
  <cols>
    <col min="2" max="2" width="11.6328125" customWidth="1"/>
    <col min="3" max="3" width="14.7265625" customWidth="1"/>
    <col min="4" max="7" width="12.1796875" customWidth="1"/>
    <col min="9" max="9" width="11.54296875" customWidth="1"/>
    <col min="10" max="10" width="14.90625" customWidth="1"/>
    <col min="11" max="11" width="8.7265625" customWidth="1"/>
    <col min="12" max="12" width="8.6328125" customWidth="1"/>
    <col min="13" max="13" width="9.81640625" customWidth="1"/>
    <col min="14" max="14" width="8.26953125" customWidth="1"/>
    <col min="16" max="16" width="11.08984375" customWidth="1"/>
    <col min="17" max="17" width="11.7265625" customWidth="1"/>
    <col min="18" max="18" width="9.54296875" bestFit="1" customWidth="1"/>
    <col min="19" max="19" width="14.26953125" bestFit="1" customWidth="1"/>
    <col min="20" max="20" width="13.1796875" customWidth="1"/>
    <col min="21" max="21" width="15.81640625" bestFit="1" customWidth="1"/>
    <col min="22" max="22" width="11.54296875" bestFit="1" customWidth="1"/>
    <col min="23" max="23" width="13.1796875" bestFit="1" customWidth="1"/>
    <col min="24" max="24" width="15.81640625" bestFit="1" customWidth="1"/>
    <col min="25" max="27" width="14.26953125" customWidth="1"/>
    <col min="28" max="28" width="17.54296875" customWidth="1"/>
    <col min="30" max="30" width="9.6328125" bestFit="1" customWidth="1"/>
    <col min="31" max="31" width="10.36328125" bestFit="1" customWidth="1"/>
    <col min="32" max="32" width="13.1796875" bestFit="1" customWidth="1"/>
    <col min="33" max="33" width="6.36328125" customWidth="1"/>
    <col min="34" max="34" width="11.7265625" customWidth="1"/>
    <col min="35" max="35" width="10.453125" bestFit="1" customWidth="1"/>
    <col min="36" max="36" width="13.1796875" bestFit="1" customWidth="1"/>
    <col min="37" max="37" width="11.54296875" bestFit="1" customWidth="1"/>
    <col min="38" max="38" width="13.1796875" bestFit="1" customWidth="1"/>
    <col min="39" max="39" width="15.81640625" bestFit="1" customWidth="1"/>
    <col min="40" max="40" width="14.26953125" bestFit="1" customWidth="1"/>
  </cols>
  <sheetData>
    <row r="1" spans="2:11" ht="21" x14ac:dyDescent="0.5">
      <c r="B1" s="56" t="s">
        <v>45</v>
      </c>
    </row>
    <row r="2" spans="2:11" ht="16.5" x14ac:dyDescent="0.35">
      <c r="C2" t="s">
        <v>0</v>
      </c>
      <c r="D2" t="s">
        <v>29</v>
      </c>
      <c r="E2" t="s">
        <v>30</v>
      </c>
      <c r="F2" t="s">
        <v>15</v>
      </c>
    </row>
    <row r="3" spans="2:11" x14ac:dyDescent="0.35">
      <c r="B3">
        <v>2023</v>
      </c>
      <c r="C3" s="4">
        <v>481513</v>
      </c>
      <c r="D3" s="5">
        <v>41613</v>
      </c>
      <c r="E3" s="3">
        <f>C3/D3</f>
        <v>11.571215725854902</v>
      </c>
    </row>
    <row r="4" spans="2:11" x14ac:dyDescent="0.35">
      <c r="B4">
        <v>2024</v>
      </c>
      <c r="C4" s="4">
        <v>494078</v>
      </c>
      <c r="D4" s="5">
        <v>42138</v>
      </c>
      <c r="E4" s="3">
        <f>C4/D4</f>
        <v>11.725236128909772</v>
      </c>
    </row>
    <row r="5" spans="2:11" ht="15" thickBot="1" x14ac:dyDescent="0.4">
      <c r="B5" t="s">
        <v>3</v>
      </c>
      <c r="C5" s="2">
        <f>C4/C3-1</f>
        <v>2.6094830253804213E-2</v>
      </c>
      <c r="D5" s="2">
        <f>D4/D3-1</f>
        <v>1.2616249729651807E-2</v>
      </c>
      <c r="E5" s="2">
        <f>E4/E3-1</f>
        <v>1.3310650039193739E-2</v>
      </c>
      <c r="F5" s="6">
        <f>E4-E3</f>
        <v>0.15402040305487041</v>
      </c>
    </row>
    <row r="6" spans="2:11" ht="15" thickBot="1" x14ac:dyDescent="0.4">
      <c r="B6" s="51" t="s">
        <v>4</v>
      </c>
      <c r="C6" s="52">
        <f>SUM(D6:E6)</f>
        <v>2.6094830253804015E-2</v>
      </c>
      <c r="D6" s="49">
        <f>D5+0.5*(D5*E5)</f>
        <v>1.2700214972131042E-2</v>
      </c>
      <c r="E6" s="50">
        <f>E5+0.5*(E5*D5)</f>
        <v>1.3394615281672973E-2</v>
      </c>
    </row>
    <row r="7" spans="2:11" ht="15" thickBot="1" x14ac:dyDescent="0.4">
      <c r="D7" s="29"/>
      <c r="E7" s="2"/>
    </row>
    <row r="8" spans="2:11" ht="16.5" x14ac:dyDescent="0.35">
      <c r="B8" s="58" t="s">
        <v>31</v>
      </c>
      <c r="C8" s="59"/>
      <c r="D8" s="60"/>
      <c r="E8" s="61">
        <f>SUM(T22:T27)</f>
        <v>3.1511544011544004E-2</v>
      </c>
    </row>
    <row r="9" spans="2:11" ht="17" thickBot="1" x14ac:dyDescent="0.4">
      <c r="B9" s="62" t="s">
        <v>32</v>
      </c>
      <c r="C9" s="63"/>
      <c r="D9" s="64"/>
      <c r="E9" s="65">
        <f>SUM(U22:U27)</f>
        <v>-1.8200893972350109E-2</v>
      </c>
    </row>
    <row r="10" spans="2:11" x14ac:dyDescent="0.35">
      <c r="D10" s="109"/>
      <c r="E10" s="110"/>
    </row>
    <row r="11" spans="2:11" x14ac:dyDescent="0.35">
      <c r="B11" s="55" t="s">
        <v>104</v>
      </c>
      <c r="D11" s="53"/>
      <c r="E11" s="54"/>
    </row>
    <row r="12" spans="2:11" x14ac:dyDescent="0.35">
      <c r="B12" s="55" t="s">
        <v>105</v>
      </c>
      <c r="D12" s="53"/>
      <c r="E12" s="54"/>
    </row>
    <row r="13" spans="2:11" x14ac:dyDescent="0.35">
      <c r="B13" s="55" t="s">
        <v>106</v>
      </c>
      <c r="D13" s="53"/>
      <c r="E13" s="54"/>
    </row>
    <row r="14" spans="2:11" x14ac:dyDescent="0.35">
      <c r="B14" s="55" t="s">
        <v>107</v>
      </c>
      <c r="D14" s="53"/>
      <c r="E14" s="54"/>
    </row>
    <row r="15" spans="2:11" x14ac:dyDescent="0.35">
      <c r="B15" s="55"/>
      <c r="D15" s="53"/>
      <c r="E15" s="54"/>
    </row>
    <row r="16" spans="2:11" x14ac:dyDescent="0.35">
      <c r="K16" s="1"/>
    </row>
    <row r="17" spans="1:27" ht="21" x14ac:dyDescent="0.5">
      <c r="B17" s="56" t="s">
        <v>44</v>
      </c>
      <c r="I17" s="56" t="s">
        <v>1</v>
      </c>
      <c r="K17" s="1"/>
      <c r="R17" s="56" t="s">
        <v>2</v>
      </c>
    </row>
    <row r="18" spans="1:27" ht="15" thickBot="1" x14ac:dyDescent="0.4"/>
    <row r="19" spans="1:27" ht="15" thickBot="1" x14ac:dyDescent="0.4">
      <c r="D19" s="179">
        <v>2023</v>
      </c>
      <c r="E19" s="181"/>
      <c r="F19" s="180">
        <v>2024</v>
      </c>
      <c r="G19" s="181"/>
      <c r="K19" s="179">
        <v>2023</v>
      </c>
      <c r="L19" s="181"/>
      <c r="M19" s="179">
        <v>2024</v>
      </c>
      <c r="N19" s="181"/>
      <c r="O19" s="179" t="s">
        <v>3</v>
      </c>
      <c r="P19" s="181"/>
    </row>
    <row r="20" spans="1:27" ht="15" thickBot="1" x14ac:dyDescent="0.4">
      <c r="C20" s="72" t="s">
        <v>25</v>
      </c>
      <c r="D20" s="73" t="s">
        <v>12</v>
      </c>
      <c r="E20" s="77" t="s">
        <v>13</v>
      </c>
      <c r="F20" t="s">
        <v>12</v>
      </c>
      <c r="G20" s="77" t="s">
        <v>13</v>
      </c>
      <c r="J20" s="72" t="s">
        <v>25</v>
      </c>
      <c r="K20" s="73" t="s">
        <v>12</v>
      </c>
      <c r="L20" s="77" t="s">
        <v>13</v>
      </c>
      <c r="M20" s="73" t="s">
        <v>12</v>
      </c>
      <c r="N20" s="77" t="s">
        <v>13</v>
      </c>
      <c r="O20" s="73" t="s">
        <v>41</v>
      </c>
      <c r="P20" s="77" t="s">
        <v>42</v>
      </c>
      <c r="S20" s="97" t="s">
        <v>25</v>
      </c>
      <c r="T20" s="83" t="s">
        <v>26</v>
      </c>
      <c r="U20" s="85" t="s">
        <v>27</v>
      </c>
      <c r="V20" s="83" t="s">
        <v>24</v>
      </c>
      <c r="W20" s="84" t="s">
        <v>17</v>
      </c>
      <c r="X20" s="84" t="s">
        <v>21</v>
      </c>
      <c r="Y20" s="179" t="s">
        <v>43</v>
      </c>
      <c r="Z20" s="180"/>
      <c r="AA20" s="181"/>
    </row>
    <row r="21" spans="1:27" x14ac:dyDescent="0.35">
      <c r="A21" s="191" t="s">
        <v>5</v>
      </c>
      <c r="B21" s="72" t="s">
        <v>5</v>
      </c>
      <c r="C21" s="74"/>
      <c r="D21" s="73"/>
      <c r="E21" s="77"/>
      <c r="G21" s="77"/>
      <c r="I21" s="72" t="s">
        <v>5</v>
      </c>
      <c r="J21" s="73"/>
      <c r="K21" s="73"/>
      <c r="L21" s="77"/>
      <c r="M21" s="73"/>
      <c r="N21" s="77"/>
      <c r="O21" s="73"/>
      <c r="P21" s="77"/>
      <c r="R21" s="69" t="s">
        <v>5</v>
      </c>
      <c r="S21" s="97"/>
      <c r="T21" s="83"/>
      <c r="U21" s="85"/>
      <c r="V21" s="83"/>
      <c r="W21" s="84"/>
      <c r="X21" s="84"/>
      <c r="Y21" s="107">
        <v>2023</v>
      </c>
      <c r="Z21" s="27">
        <v>2024</v>
      </c>
      <c r="AA21" s="108" t="s">
        <v>15</v>
      </c>
    </row>
    <row r="22" spans="1:27" x14ac:dyDescent="0.35">
      <c r="A22" s="191"/>
      <c r="B22" s="73" t="s">
        <v>6</v>
      </c>
      <c r="C22" s="75">
        <f>J22+S22</f>
        <v>6.6881044443387189E-2</v>
      </c>
      <c r="D22" s="78">
        <v>120378.25</v>
      </c>
      <c r="E22" s="79">
        <f t="shared" ref="E22:E27" si="0">D22/$C$3</f>
        <v>0.25</v>
      </c>
      <c r="F22" s="66">
        <v>138341.84</v>
      </c>
      <c r="G22" s="79">
        <f t="shared" ref="G22:G27" si="1">F22/$C$4</f>
        <v>0.27999999999999997</v>
      </c>
      <c r="I22" s="73" t="s">
        <v>6</v>
      </c>
      <c r="J22" s="88">
        <f>L22*O22</f>
        <v>3.3154062432412909E-2</v>
      </c>
      <c r="K22" s="90">
        <v>9154.86</v>
      </c>
      <c r="L22" s="79">
        <f t="shared" ref="L22:L27" si="2">K22/$D$3</f>
        <v>0.22</v>
      </c>
      <c r="M22" s="90">
        <v>10534.5</v>
      </c>
      <c r="N22" s="79">
        <f t="shared" ref="N22:N27" si="3">M22/$D$4</f>
        <v>0.25</v>
      </c>
      <c r="O22" s="92">
        <f t="shared" ref="O22:O27" si="4">M22/K22-1</f>
        <v>0.15070028378369504</v>
      </c>
      <c r="P22" s="93">
        <f t="shared" ref="P22:P27" si="5">N22-L22</f>
        <v>0.03</v>
      </c>
      <c r="Q22" s="57"/>
      <c r="R22" s="70" t="s">
        <v>6</v>
      </c>
      <c r="S22" s="86">
        <f>V22/$E$3</f>
        <v>3.3726982010974287E-2</v>
      </c>
      <c r="T22" s="92">
        <f>W22/$E$3</f>
        <v>3.4090909090909081E-2</v>
      </c>
      <c r="U22" s="79">
        <f t="shared" ref="S22:U27" si="6">X22/$E$3</f>
        <v>-3.639270799347937E-4</v>
      </c>
      <c r="V22" s="98">
        <f>SUM(W22:X22)</f>
        <v>0.39026218463101109</v>
      </c>
      <c r="W22" s="6">
        <f>P22*Y22</f>
        <v>0.39447326338141703</v>
      </c>
      <c r="X22" s="32">
        <f>N22*AA22</f>
        <v>-4.2110787504059388E-3</v>
      </c>
      <c r="Y22" s="102">
        <f t="shared" ref="Y22:Y27" si="7">D22/K22</f>
        <v>13.149108779380569</v>
      </c>
      <c r="Z22" s="96">
        <f t="shared" ref="Z22:Z27" si="8">F22/M22</f>
        <v>13.132264464378945</v>
      </c>
      <c r="AA22" s="103">
        <f t="shared" ref="AA22:AA27" si="9">Z22-Y22</f>
        <v>-1.6844315001623755E-2</v>
      </c>
    </row>
    <row r="23" spans="1:27" x14ac:dyDescent="0.35">
      <c r="A23" s="191"/>
      <c r="B23" s="73" t="s">
        <v>7</v>
      </c>
      <c r="C23" s="75">
        <f t="shared" ref="C23:C27" si="10">J23+S23</f>
        <v>6.6628719448794199E-2</v>
      </c>
      <c r="D23" s="78">
        <v>120378.25</v>
      </c>
      <c r="E23" s="79">
        <f t="shared" si="0"/>
        <v>0.25</v>
      </c>
      <c r="F23" s="66">
        <v>138341.84000000003</v>
      </c>
      <c r="G23" s="79">
        <f t="shared" si="1"/>
        <v>0.28000000000000003</v>
      </c>
      <c r="I23" s="73" t="s">
        <v>7</v>
      </c>
      <c r="J23" s="88">
        <f t="shared" ref="J23:J27" si="11">L23*O23</f>
        <v>3.2901737437819899E-2</v>
      </c>
      <c r="K23" s="90">
        <v>8322.6</v>
      </c>
      <c r="L23" s="79">
        <f t="shared" si="2"/>
        <v>0.2</v>
      </c>
      <c r="M23" s="90">
        <v>9691.74</v>
      </c>
      <c r="N23" s="79">
        <f t="shared" si="3"/>
        <v>0.22999999999999998</v>
      </c>
      <c r="O23" s="92">
        <f t="shared" si="4"/>
        <v>0.1645086871890995</v>
      </c>
      <c r="P23" s="93">
        <f t="shared" si="5"/>
        <v>2.9999999999999971E-2</v>
      </c>
      <c r="Q23" s="57"/>
      <c r="R23" s="70" t="s">
        <v>7</v>
      </c>
      <c r="S23" s="86">
        <f>V23/$E$3</f>
        <v>3.3726982010974307E-2</v>
      </c>
      <c r="T23" s="92">
        <f t="shared" si="6"/>
        <v>3.7499999999999964E-2</v>
      </c>
      <c r="U23" s="79">
        <f t="shared" si="6"/>
        <v>-3.7730179890256578E-3</v>
      </c>
      <c r="V23" s="98">
        <f t="shared" ref="V23:V27" si="12">SUM(W23:X23)</f>
        <v>0.39026218463101126</v>
      </c>
      <c r="W23" s="6">
        <f t="shared" ref="W23:W27" si="13">P23*Y23</f>
        <v>0.43392058971955838</v>
      </c>
      <c r="X23" s="32">
        <f t="shared" ref="X23:X27" si="14">N23*AA23</f>
        <v>-4.3658405088547132E-2</v>
      </c>
      <c r="Y23" s="102">
        <f t="shared" si="7"/>
        <v>14.464019657318627</v>
      </c>
      <c r="Z23" s="96">
        <f t="shared" si="8"/>
        <v>14.274200504759726</v>
      </c>
      <c r="AA23" s="103">
        <f t="shared" si="9"/>
        <v>-0.18981915255890058</v>
      </c>
    </row>
    <row r="24" spans="1:27" x14ac:dyDescent="0.35">
      <c r="A24" s="191"/>
      <c r="B24" s="73" t="s">
        <v>8</v>
      </c>
      <c r="C24" s="75">
        <f t="shared" si="10"/>
        <v>-3.9096030509638099E-2</v>
      </c>
      <c r="D24" s="78">
        <v>24075.65</v>
      </c>
      <c r="E24" s="79">
        <f t="shared" si="0"/>
        <v>0.05</v>
      </c>
      <c r="F24" s="66">
        <v>14822.34</v>
      </c>
      <c r="G24" s="79">
        <f t="shared" si="1"/>
        <v>0.03</v>
      </c>
      <c r="I24" s="73" t="s">
        <v>8</v>
      </c>
      <c r="J24" s="88">
        <f t="shared" si="11"/>
        <v>-1.9495350010813921E-2</v>
      </c>
      <c r="K24" s="90">
        <v>2496.7799999999997</v>
      </c>
      <c r="L24" s="79">
        <f t="shared" si="2"/>
        <v>5.9999999999999991E-2</v>
      </c>
      <c r="M24" s="90">
        <v>1685.52</v>
      </c>
      <c r="N24" s="79">
        <f t="shared" si="3"/>
        <v>0.04</v>
      </c>
      <c r="O24" s="92">
        <f t="shared" si="4"/>
        <v>-0.32492250018023205</v>
      </c>
      <c r="P24" s="93">
        <f t="shared" si="5"/>
        <v>-1.999999999999999E-2</v>
      </c>
      <c r="Q24" s="57"/>
      <c r="R24" s="70" t="s">
        <v>8</v>
      </c>
      <c r="S24" s="86">
        <f t="shared" si="6"/>
        <v>-1.9600680498824182E-2</v>
      </c>
      <c r="T24" s="92">
        <f t="shared" si="6"/>
        <v>-1.6666666666666659E-2</v>
      </c>
      <c r="U24" s="79">
        <f t="shared" si="6"/>
        <v>-2.9340138321575222E-3</v>
      </c>
      <c r="V24" s="98">
        <f t="shared" si="12"/>
        <v>-0.22680370242545189</v>
      </c>
      <c r="W24" s="6">
        <f t="shared" si="13"/>
        <v>-0.19285359543091496</v>
      </c>
      <c r="X24" s="32">
        <f t="shared" si="14"/>
        <v>-3.3950106994536926E-2</v>
      </c>
      <c r="Y24" s="102">
        <f t="shared" si="7"/>
        <v>9.6426797715457528</v>
      </c>
      <c r="Z24" s="96">
        <f t="shared" si="8"/>
        <v>8.7939270966823297</v>
      </c>
      <c r="AA24" s="103">
        <f t="shared" si="9"/>
        <v>-0.8487526748634231</v>
      </c>
    </row>
    <row r="25" spans="1:27" x14ac:dyDescent="0.35">
      <c r="A25" s="191"/>
      <c r="B25" s="73" t="s">
        <v>9</v>
      </c>
      <c r="C25" s="75">
        <f t="shared" si="10"/>
        <v>-9.2887462571305951E-2</v>
      </c>
      <c r="D25" s="78">
        <v>144453.9</v>
      </c>
      <c r="E25" s="79">
        <f t="shared" si="0"/>
        <v>0.3</v>
      </c>
      <c r="F25" s="66">
        <v>123519.5</v>
      </c>
      <c r="G25" s="79">
        <f t="shared" si="1"/>
        <v>0.25</v>
      </c>
      <c r="I25" s="73" t="s">
        <v>9</v>
      </c>
      <c r="J25" s="88">
        <f t="shared" si="11"/>
        <v>-4.6215125081104445E-2</v>
      </c>
      <c r="K25" s="90">
        <v>14564.55</v>
      </c>
      <c r="L25" s="79">
        <f t="shared" si="2"/>
        <v>0.35</v>
      </c>
      <c r="M25" s="90">
        <v>12641.4</v>
      </c>
      <c r="N25" s="79">
        <f t="shared" si="3"/>
        <v>0.3</v>
      </c>
      <c r="O25" s="92">
        <f t="shared" si="4"/>
        <v>-0.13204321451744128</v>
      </c>
      <c r="P25" s="93">
        <f t="shared" si="5"/>
        <v>-4.9999999999999989E-2</v>
      </c>
      <c r="Q25" s="57"/>
      <c r="R25" s="70" t="s">
        <v>9</v>
      </c>
      <c r="S25" s="86">
        <f t="shared" si="6"/>
        <v>-4.6672337490201513E-2</v>
      </c>
      <c r="T25" s="92">
        <f t="shared" si="6"/>
        <v>-4.2857142857142844E-2</v>
      </c>
      <c r="U25" s="79">
        <f t="shared" si="6"/>
        <v>-3.8151946330586689E-3</v>
      </c>
      <c r="V25" s="98">
        <f t="shared" si="12"/>
        <v>-0.54005568552902705</v>
      </c>
      <c r="W25" s="6">
        <f>P25*Y25</f>
        <v>-0.49590924539378134</v>
      </c>
      <c r="X25" s="32">
        <f t="shared" si="14"/>
        <v>-4.4146440135245692E-2</v>
      </c>
      <c r="Y25" s="102">
        <f t="shared" si="7"/>
        <v>9.918184907875629</v>
      </c>
      <c r="Z25" s="96">
        <f t="shared" si="8"/>
        <v>9.77103010742481</v>
      </c>
      <c r="AA25" s="103">
        <f t="shared" si="9"/>
        <v>-0.14715480045081897</v>
      </c>
    </row>
    <row r="26" spans="1:27" x14ac:dyDescent="0.35">
      <c r="A26" s="191"/>
      <c r="B26" s="73" t="s">
        <v>10</v>
      </c>
      <c r="C26" s="75">
        <f t="shared" si="10"/>
        <v>7.325822247884424E-2</v>
      </c>
      <c r="D26" s="78">
        <v>48151.3</v>
      </c>
      <c r="E26" s="79">
        <f t="shared" si="0"/>
        <v>0.1</v>
      </c>
      <c r="F26" s="66">
        <v>74111.7</v>
      </c>
      <c r="G26" s="79">
        <f t="shared" si="1"/>
        <v>0.15</v>
      </c>
      <c r="I26" s="73" t="s">
        <v>10</v>
      </c>
      <c r="J26" s="88">
        <f t="shared" si="11"/>
        <v>2.1261624972965177E-2</v>
      </c>
      <c r="K26" s="90">
        <v>3329.04</v>
      </c>
      <c r="L26" s="79">
        <f t="shared" si="2"/>
        <v>0.08</v>
      </c>
      <c r="M26" s="90">
        <v>4213.8</v>
      </c>
      <c r="N26" s="79">
        <f t="shared" si="3"/>
        <v>0.1</v>
      </c>
      <c r="O26" s="92">
        <f t="shared" si="4"/>
        <v>0.2657703121620647</v>
      </c>
      <c r="P26" s="93">
        <f t="shared" si="5"/>
        <v>2.0000000000000004E-2</v>
      </c>
      <c r="Q26" s="57"/>
      <c r="R26" s="70" t="s">
        <v>10</v>
      </c>
      <c r="S26" s="86">
        <f t="shared" si="6"/>
        <v>5.1996597505879066E-2</v>
      </c>
      <c r="T26" s="92">
        <f t="shared" si="6"/>
        <v>2.5000000000000005E-2</v>
      </c>
      <c r="U26" s="79">
        <f t="shared" si="6"/>
        <v>2.6996597505879055E-2</v>
      </c>
      <c r="V26" s="98">
        <f t="shared" si="12"/>
        <v>0.60166384675097562</v>
      </c>
      <c r="W26" s="6">
        <f t="shared" si="13"/>
        <v>0.28928039314637261</v>
      </c>
      <c r="X26" s="32">
        <f t="shared" si="14"/>
        <v>0.31238345360460296</v>
      </c>
      <c r="Y26" s="102">
        <f t="shared" si="7"/>
        <v>14.464019657318627</v>
      </c>
      <c r="Z26" s="96">
        <f t="shared" si="8"/>
        <v>17.587854193364656</v>
      </c>
      <c r="AA26" s="103">
        <f t="shared" si="9"/>
        <v>3.1238345360460293</v>
      </c>
    </row>
    <row r="27" spans="1:27" ht="15" thickBot="1" x14ac:dyDescent="0.4">
      <c r="A27" s="191"/>
      <c r="B27" s="62" t="s">
        <v>11</v>
      </c>
      <c r="C27" s="76">
        <f t="shared" si="10"/>
        <v>-4.8857593521235879E-2</v>
      </c>
      <c r="D27" s="80">
        <v>24075.65</v>
      </c>
      <c r="E27" s="82">
        <f t="shared" si="0"/>
        <v>0.05</v>
      </c>
      <c r="F27" s="81">
        <v>4940.78</v>
      </c>
      <c r="G27" s="82">
        <f t="shared" si="1"/>
        <v>0.01</v>
      </c>
      <c r="I27" s="62" t="s">
        <v>11</v>
      </c>
      <c r="J27" s="89">
        <f t="shared" si="11"/>
        <v>-8.9907000216278236E-3</v>
      </c>
      <c r="K27" s="91">
        <v>3745.1699999999987</v>
      </c>
      <c r="L27" s="82">
        <f t="shared" si="2"/>
        <v>8.9999999999999969E-2</v>
      </c>
      <c r="M27" s="91">
        <v>3371.04</v>
      </c>
      <c r="N27" s="82">
        <f t="shared" si="3"/>
        <v>0.08</v>
      </c>
      <c r="O27" s="94">
        <f>M27/K27-1</f>
        <v>-9.9896666906975851E-2</v>
      </c>
      <c r="P27" s="95">
        <f>N27-L27</f>
        <v>-9.9999999999999672E-3</v>
      </c>
      <c r="Q27" s="57"/>
      <c r="R27" s="71" t="s">
        <v>11</v>
      </c>
      <c r="S27" s="87">
        <f t="shared" si="6"/>
        <v>-3.9866893499608057E-2</v>
      </c>
      <c r="T27" s="94">
        <f t="shared" si="6"/>
        <v>-5.5555555555555384E-3</v>
      </c>
      <c r="U27" s="82">
        <f t="shared" si="6"/>
        <v>-3.4311337944052521E-2</v>
      </c>
      <c r="V27" s="99">
        <f t="shared" si="12"/>
        <v>-0.46130842500364733</v>
      </c>
      <c r="W27" s="100">
        <f>P27*Y27</f>
        <v>-6.4284531810304815E-2</v>
      </c>
      <c r="X27" s="101">
        <f t="shared" si="14"/>
        <v>-0.39702389319334253</v>
      </c>
      <c r="Y27" s="104">
        <f t="shared" si="7"/>
        <v>6.4284531810305028</v>
      </c>
      <c r="Z27" s="105">
        <f t="shared" si="8"/>
        <v>1.4656545161137216</v>
      </c>
      <c r="AA27" s="106">
        <f t="shared" si="9"/>
        <v>-4.9627986649167815</v>
      </c>
    </row>
    <row r="28" spans="1:27" x14ac:dyDescent="0.35">
      <c r="B28" s="20" t="s">
        <v>14</v>
      </c>
      <c r="C28" s="67">
        <f>SUM(C22:C27)</f>
        <v>2.5926899768845699E-2</v>
      </c>
      <c r="D28" s="21">
        <f>SUM(D22:D27)</f>
        <v>481513.00000000006</v>
      </c>
      <c r="E28" s="68">
        <f>SUM(E22:E27)</f>
        <v>1</v>
      </c>
      <c r="F28" s="21">
        <f>SUM(F22:F27)</f>
        <v>494078.00000000012</v>
      </c>
      <c r="G28" s="68">
        <f>SUM(G22:G27)</f>
        <v>1</v>
      </c>
      <c r="I28" s="20" t="s">
        <v>14</v>
      </c>
      <c r="J28" s="28">
        <f>SUM(J22:J27)</f>
        <v>1.2616249729651788E-2</v>
      </c>
      <c r="K28" s="21">
        <f>SUM(K22:K27)</f>
        <v>41612.999999999993</v>
      </c>
      <c r="L28" s="22">
        <f>SUM(L22:L27)</f>
        <v>1</v>
      </c>
      <c r="M28" s="21">
        <f>SUM(M22:M27)</f>
        <v>42138</v>
      </c>
      <c r="N28" s="22">
        <f t="shared" ref="N28" si="15">SUM(N22:N27)</f>
        <v>1</v>
      </c>
      <c r="R28" s="20" t="s">
        <v>14</v>
      </c>
      <c r="S28" s="67">
        <f>SUM(S22:S27)</f>
        <v>1.3310650039193898E-2</v>
      </c>
      <c r="V28" s="33">
        <f>SUM(V22:V27)</f>
        <v>0.15402040305487164</v>
      </c>
    </row>
    <row r="31" spans="1:27" x14ac:dyDescent="0.35">
      <c r="R31" s="55"/>
      <c r="S31" s="55"/>
      <c r="T31" s="55"/>
      <c r="U31" s="55"/>
    </row>
    <row r="32" spans="1:27" x14ac:dyDescent="0.35">
      <c r="R32" s="55"/>
      <c r="S32" s="55"/>
      <c r="T32" s="55"/>
      <c r="U32" s="55"/>
    </row>
    <row r="33" spans="9:21" x14ac:dyDescent="0.35">
      <c r="R33" s="55"/>
      <c r="S33" s="55"/>
      <c r="T33" s="55"/>
      <c r="U33" s="55"/>
    </row>
    <row r="34" spans="9:21" x14ac:dyDescent="0.35">
      <c r="R34" s="55"/>
      <c r="S34" s="55"/>
      <c r="T34" s="55"/>
      <c r="U34" s="55"/>
    </row>
    <row r="35" spans="9:21" x14ac:dyDescent="0.35">
      <c r="R35" s="55"/>
      <c r="S35" s="55"/>
      <c r="T35" s="55"/>
      <c r="U35" s="55"/>
    </row>
    <row r="36" spans="9:21" x14ac:dyDescent="0.35">
      <c r="R36" s="55"/>
      <c r="S36" s="55"/>
      <c r="T36" s="55"/>
      <c r="U36" s="55"/>
    </row>
    <row r="37" spans="9:21" x14ac:dyDescent="0.35">
      <c r="R37" s="55"/>
      <c r="S37" s="55"/>
      <c r="T37" s="55"/>
      <c r="U37" s="55"/>
    </row>
    <row r="38" spans="9:21" x14ac:dyDescent="0.35">
      <c r="R38" s="55"/>
      <c r="S38" s="55"/>
      <c r="T38" s="55"/>
      <c r="U38" s="55"/>
    </row>
    <row r="39" spans="9:21" x14ac:dyDescent="0.35">
      <c r="I39" s="55"/>
      <c r="J39" s="55"/>
      <c r="K39" s="55"/>
      <c r="L39" s="55"/>
    </row>
  </sheetData>
  <mergeCells count="7">
    <mergeCell ref="A21:A27"/>
    <mergeCell ref="D19:E19"/>
    <mergeCell ref="F19:G19"/>
    <mergeCell ref="K19:L19"/>
    <mergeCell ref="M19:N19"/>
    <mergeCell ref="O19:P19"/>
    <mergeCell ref="Y20:AA2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2392-B10F-4AAE-920B-006599E31225}">
  <sheetPr>
    <tabColor theme="9"/>
  </sheetPr>
  <dimension ref="B1:N73"/>
  <sheetViews>
    <sheetView zoomScale="80" zoomScaleNormal="80" workbookViewId="0">
      <selection activeCell="K8" sqref="K8"/>
    </sheetView>
  </sheetViews>
  <sheetFormatPr defaultRowHeight="14.5" x14ac:dyDescent="0.35"/>
  <cols>
    <col min="1" max="1" width="4.1796875" style="111" customWidth="1"/>
    <col min="2" max="2" width="13.08984375" style="111" customWidth="1"/>
    <col min="3" max="3" width="4.08984375" style="111" customWidth="1"/>
    <col min="4" max="4" width="10" style="111" customWidth="1"/>
    <col min="5" max="5" width="5.7265625" style="111" customWidth="1"/>
    <col min="6" max="6" width="16.08984375" style="111" customWidth="1"/>
    <col min="7" max="7" width="12.1796875" style="111" customWidth="1"/>
    <col min="8" max="8" width="12.81640625" style="111" bestFit="1" customWidth="1"/>
    <col min="9" max="10" width="11" style="111" bestFit="1" customWidth="1"/>
    <col min="11" max="11" width="14.26953125" style="111" customWidth="1"/>
    <col min="12" max="12" width="12.26953125" style="111" customWidth="1"/>
    <col min="13" max="13" width="8.7265625" style="111"/>
    <col min="14" max="14" width="10" style="111" customWidth="1"/>
    <col min="15" max="16384" width="8.7265625" style="111"/>
  </cols>
  <sheetData>
    <row r="1" spans="2:10" ht="15" thickBot="1" x14ac:dyDescent="0.4"/>
    <row r="2" spans="2:10" x14ac:dyDescent="0.35">
      <c r="F2" s="121"/>
      <c r="G2" s="122"/>
      <c r="H2" s="122" t="s">
        <v>4</v>
      </c>
      <c r="I2" s="123" t="s">
        <v>85</v>
      </c>
      <c r="J2" s="124" t="s">
        <v>92</v>
      </c>
    </row>
    <row r="3" spans="2:10" x14ac:dyDescent="0.35">
      <c r="F3" s="125" t="s">
        <v>57</v>
      </c>
      <c r="G3" s="126" t="s">
        <v>6</v>
      </c>
      <c r="H3" s="127" t="str">
        <f>TEXT('Sheet1 (2)'!I35*100,"0.0") &amp; " PP"</f>
        <v>3.3 PP</v>
      </c>
      <c r="I3" s="128">
        <f>'Sheet1 (2)'!K35</f>
        <v>0.22</v>
      </c>
      <c r="J3" s="129">
        <f>'Sheet1 (2)'!N35</f>
        <v>0.15070028378369504</v>
      </c>
    </row>
    <row r="4" spans="2:10" ht="15" thickBot="1" x14ac:dyDescent="0.4">
      <c r="F4" s="130"/>
      <c r="G4" s="126" t="s">
        <v>7</v>
      </c>
      <c r="H4" s="127" t="str">
        <f>TEXT('Sheet1 (2)'!I36*100,"0.0") &amp; " PP"</f>
        <v>3.3 PP</v>
      </c>
      <c r="I4" s="128">
        <f>'Sheet1 (2)'!K36</f>
        <v>0.2</v>
      </c>
      <c r="J4" s="129">
        <f>'Sheet1 (2)'!N36</f>
        <v>0.1645086871890995</v>
      </c>
    </row>
    <row r="5" spans="2:10" ht="19.5" x14ac:dyDescent="0.45">
      <c r="D5" s="119" t="s">
        <v>1</v>
      </c>
      <c r="F5" s="130"/>
      <c r="G5" s="126" t="s">
        <v>8</v>
      </c>
      <c r="H5" s="127" t="str">
        <f>TEXT('Sheet1 (2)'!I37*100,"0.0") &amp; " PP"</f>
        <v>-1.9 PP</v>
      </c>
      <c r="I5" s="128">
        <f>'Sheet1 (2)'!K37</f>
        <v>5.9999999999999991E-2</v>
      </c>
      <c r="J5" s="129">
        <f>'Sheet1 (2)'!N37</f>
        <v>-0.32492250018023205</v>
      </c>
    </row>
    <row r="6" spans="2:10" ht="20" thickBot="1" x14ac:dyDescent="0.5">
      <c r="D6" s="120" t="str">
        <f>TEXT('Sheet1 (2)'!C6*100,"0.00") &amp; " PP"</f>
        <v>1.27 PP</v>
      </c>
      <c r="F6" s="130"/>
      <c r="G6" s="126" t="s">
        <v>9</v>
      </c>
      <c r="H6" s="127" t="str">
        <f>TEXT('Sheet1 (2)'!I38*100,"0.0") &amp; " PP"</f>
        <v>-4.6 PP</v>
      </c>
      <c r="I6" s="128">
        <f>'Sheet1 (2)'!K38</f>
        <v>0.35</v>
      </c>
      <c r="J6" s="129">
        <f>'Sheet1 (2)'!N38</f>
        <v>-0.13204321451744128</v>
      </c>
    </row>
    <row r="7" spans="2:10" ht="16" customHeight="1" x14ac:dyDescent="0.35">
      <c r="D7" s="111" t="s">
        <v>97</v>
      </c>
      <c r="F7" s="131"/>
      <c r="G7" s="126" t="s">
        <v>10</v>
      </c>
      <c r="H7" s="127" t="str">
        <f>TEXT('Sheet1 (2)'!I39*100,"0.0") &amp; " PP"</f>
        <v>2.1 PP</v>
      </c>
      <c r="I7" s="128">
        <f>'Sheet1 (2)'!K39</f>
        <v>0.08</v>
      </c>
      <c r="J7" s="129">
        <f>'Sheet1 (2)'!N39</f>
        <v>0.2657703121620647</v>
      </c>
    </row>
    <row r="8" spans="2:10" ht="17.5" customHeight="1" thickBot="1" x14ac:dyDescent="0.4">
      <c r="F8" s="132"/>
      <c r="G8" s="133" t="s">
        <v>11</v>
      </c>
      <c r="H8" s="134" t="str">
        <f>TEXT('Sheet1 (2)'!I40*100,"0.0") &amp; " PP"</f>
        <v>-0.9 PP</v>
      </c>
      <c r="I8" s="135">
        <f>'Sheet1 (2)'!K40</f>
        <v>8.9999999999999969E-2</v>
      </c>
      <c r="J8" s="136">
        <f>'Sheet1 (2)'!N40</f>
        <v>-9.9896666906975851E-2</v>
      </c>
    </row>
    <row r="9" spans="2:10" ht="5.5" customHeight="1" thickBot="1" x14ac:dyDescent="0.4">
      <c r="H9" s="115"/>
    </row>
    <row r="10" spans="2:10" ht="19.5" x14ac:dyDescent="0.45">
      <c r="B10" s="158" t="s">
        <v>44</v>
      </c>
      <c r="F10" s="121"/>
      <c r="G10" s="122"/>
      <c r="H10" s="122" t="s">
        <v>4</v>
      </c>
      <c r="I10" s="123" t="s">
        <v>85</v>
      </c>
      <c r="J10" s="124" t="s">
        <v>92</v>
      </c>
    </row>
    <row r="11" spans="2:10" ht="19.5" x14ac:dyDescent="0.45">
      <c r="B11" s="159">
        <f>'Sheet1 (2)'!B5</f>
        <v>2.6094830253804213E-2</v>
      </c>
      <c r="F11" s="125" t="s">
        <v>89</v>
      </c>
      <c r="G11" s="126" t="s">
        <v>6</v>
      </c>
      <c r="H11" s="127" t="str">
        <f>TEXT('Sheet1 (2)'!I46*100,"0.0") &amp; " PP"</f>
        <v>0.0 PP</v>
      </c>
      <c r="I11" s="128">
        <f>'Sheet1 (2)'!K46</f>
        <v>0</v>
      </c>
      <c r="J11" s="129">
        <f>'Sheet1 (2)'!N46</f>
        <v>0</v>
      </c>
    </row>
    <row r="12" spans="2:10" ht="15" thickBot="1" x14ac:dyDescent="0.4">
      <c r="B12" s="160" t="s">
        <v>55</v>
      </c>
      <c r="F12" s="130"/>
      <c r="G12" s="126" t="s">
        <v>7</v>
      </c>
      <c r="H12" s="127" t="str">
        <f>TEXT('Sheet1 (2)'!I47*100,"0.0") &amp; " PP"</f>
        <v>0.0 PP</v>
      </c>
      <c r="I12" s="128">
        <f>'Sheet1 (2)'!K47</f>
        <v>0</v>
      </c>
      <c r="J12" s="129">
        <f>'Sheet1 (2)'!N47</f>
        <v>0</v>
      </c>
    </row>
    <row r="13" spans="2:10" x14ac:dyDescent="0.35">
      <c r="F13" s="130"/>
      <c r="G13" s="126" t="s">
        <v>8</v>
      </c>
      <c r="H13" s="127" t="str">
        <f>TEXT('Sheet1 (2)'!I48*100,"0.0") &amp; " PP"</f>
        <v>0.0 PP</v>
      </c>
      <c r="I13" s="128">
        <f>'Sheet1 (2)'!K48</f>
        <v>0</v>
      </c>
      <c r="J13" s="129">
        <f>'Sheet1 (2)'!N48</f>
        <v>0</v>
      </c>
    </row>
    <row r="14" spans="2:10" x14ac:dyDescent="0.35">
      <c r="F14" s="130"/>
      <c r="G14" s="126" t="s">
        <v>9</v>
      </c>
      <c r="H14" s="127" t="str">
        <f>TEXT('Sheet1 (2)'!I49*100,"0.0") &amp; " PP"</f>
        <v>0.0 PP</v>
      </c>
      <c r="I14" s="128">
        <f>'Sheet1 (2)'!K49</f>
        <v>0</v>
      </c>
      <c r="J14" s="129">
        <f>'Sheet1 (2)'!N49</f>
        <v>0</v>
      </c>
    </row>
    <row r="15" spans="2:10" x14ac:dyDescent="0.35">
      <c r="F15" s="131"/>
      <c r="G15" s="126" t="s">
        <v>10</v>
      </c>
      <c r="H15" s="127" t="str">
        <f>TEXT('Sheet1 (2)'!I50*100,"0.0") &amp; " PP"</f>
        <v>0.0 PP</v>
      </c>
      <c r="I15" s="128">
        <f>'Sheet1 (2)'!K50</f>
        <v>0</v>
      </c>
      <c r="J15" s="129">
        <f>'Sheet1 (2)'!N50</f>
        <v>0</v>
      </c>
    </row>
    <row r="16" spans="2:10" ht="15" thickBot="1" x14ac:dyDescent="0.4">
      <c r="F16" s="132"/>
      <c r="G16" s="133" t="s">
        <v>11</v>
      </c>
      <c r="H16" s="134" t="str">
        <f>TEXT('Sheet1 (2)'!I51*100,"0.0") &amp; " PP"</f>
        <v>0.0 PP</v>
      </c>
      <c r="I16" s="135">
        <f>'Sheet1 (2)'!K51</f>
        <v>0</v>
      </c>
      <c r="J16" s="136">
        <f>'Sheet1 (2)'!N51</f>
        <v>0</v>
      </c>
    </row>
    <row r="17" spans="4:14" ht="9" customHeight="1" thickBot="1" x14ac:dyDescent="0.4">
      <c r="H17" s="114"/>
      <c r="I17" s="116"/>
      <c r="J17" s="116"/>
    </row>
    <row r="18" spans="4:14" x14ac:dyDescent="0.35">
      <c r="F18" s="121"/>
      <c r="G18" s="122"/>
      <c r="H18" s="122" t="s">
        <v>4</v>
      </c>
      <c r="I18" s="123" t="s">
        <v>85</v>
      </c>
      <c r="J18" s="124" t="s">
        <v>92</v>
      </c>
    </row>
    <row r="19" spans="4:14" x14ac:dyDescent="0.35">
      <c r="F19" s="125" t="s">
        <v>90</v>
      </c>
      <c r="G19" s="126" t="s">
        <v>6</v>
      </c>
      <c r="H19" s="127" t="str">
        <f>TEXT('Sheet1 (2)'!I54*100,"0.0") &amp; " PP"</f>
        <v>0.0 PP</v>
      </c>
      <c r="I19" s="128">
        <f>'Sheet1 (2)'!K54</f>
        <v>0</v>
      </c>
      <c r="J19" s="129">
        <f>'Sheet1 (2)'!N54</f>
        <v>0</v>
      </c>
    </row>
    <row r="20" spans="4:14" x14ac:dyDescent="0.35">
      <c r="F20" s="130"/>
      <c r="G20" s="126" t="s">
        <v>7</v>
      </c>
      <c r="H20" s="127" t="str">
        <f>TEXT('Sheet1 (2)'!I55*100,"0.0") &amp; " PP"</f>
        <v>0.0 PP</v>
      </c>
      <c r="I20" s="128">
        <f>'Sheet1 (2)'!K55</f>
        <v>0</v>
      </c>
      <c r="J20" s="129">
        <f>'Sheet1 (2)'!N55</f>
        <v>0</v>
      </c>
    </row>
    <row r="21" spans="4:14" x14ac:dyDescent="0.35">
      <c r="F21" s="130"/>
      <c r="G21" s="126" t="s">
        <v>8</v>
      </c>
      <c r="H21" s="127" t="str">
        <f>TEXT('Sheet1 (2)'!I56*100,"0.0") &amp; " PP"</f>
        <v>0.0 PP</v>
      </c>
      <c r="I21" s="128">
        <f>'Sheet1 (2)'!K56</f>
        <v>0</v>
      </c>
      <c r="J21" s="129">
        <f>'Sheet1 (2)'!N56</f>
        <v>0</v>
      </c>
    </row>
    <row r="22" spans="4:14" x14ac:dyDescent="0.35">
      <c r="F22" s="130"/>
      <c r="G22" s="126" t="s">
        <v>9</v>
      </c>
      <c r="H22" s="127" t="str">
        <f>TEXT('Sheet1 (2)'!I57*100,"0.0") &amp; " PP"</f>
        <v>0.0 PP</v>
      </c>
      <c r="I22" s="128">
        <f>'Sheet1 (2)'!K57</f>
        <v>0</v>
      </c>
      <c r="J22" s="129">
        <f>'Sheet1 (2)'!N57</f>
        <v>0</v>
      </c>
    </row>
    <row r="23" spans="4:14" x14ac:dyDescent="0.35">
      <c r="F23" s="131"/>
      <c r="G23" s="126" t="s">
        <v>10</v>
      </c>
      <c r="H23" s="127" t="str">
        <f>TEXT('Sheet1 (2)'!I58*100,"0.0") &amp; " PP"</f>
        <v>0.0 PP</v>
      </c>
      <c r="I23" s="128">
        <f>'Sheet1 (2)'!K58</f>
        <v>0</v>
      </c>
      <c r="J23" s="129">
        <f>'Sheet1 (2)'!N58</f>
        <v>0</v>
      </c>
    </row>
    <row r="24" spans="4:14" ht="15" thickBot="1" x14ac:dyDescent="0.4">
      <c r="F24" s="132"/>
      <c r="G24" s="133" t="s">
        <v>11</v>
      </c>
      <c r="H24" s="134" t="str">
        <f>TEXT('Sheet1 (2)'!I59*100,"0.0") &amp; " PP"</f>
        <v>0.0 PP</v>
      </c>
      <c r="I24" s="135">
        <f>'Sheet1 (2)'!K59</f>
        <v>0</v>
      </c>
      <c r="J24" s="136">
        <f>'Sheet1 (2)'!N59</f>
        <v>0</v>
      </c>
    </row>
    <row r="25" spans="4:14" ht="5.5" customHeight="1" x14ac:dyDescent="0.35">
      <c r="H25" s="114"/>
      <c r="I25" s="116"/>
      <c r="J25" s="116"/>
    </row>
    <row r="26" spans="4:14" ht="5.5" customHeight="1" thickBot="1" x14ac:dyDescent="0.4">
      <c r="H26" s="114"/>
      <c r="I26" s="116"/>
      <c r="J26" s="116"/>
    </row>
    <row r="27" spans="4:14" ht="15" thickBot="1" x14ac:dyDescent="0.4">
      <c r="I27" s="141"/>
      <c r="J27" s="142"/>
      <c r="K27" s="142" t="s">
        <v>4</v>
      </c>
      <c r="L27" s="143" t="s">
        <v>91</v>
      </c>
      <c r="M27" s="143" t="s">
        <v>93</v>
      </c>
      <c r="N27" s="144"/>
    </row>
    <row r="28" spans="4:14" ht="20" thickBot="1" x14ac:dyDescent="0.5">
      <c r="D28" s="137" t="s">
        <v>2</v>
      </c>
      <c r="F28" s="139" t="s">
        <v>87</v>
      </c>
      <c r="G28" s="140" t="str">
        <f>TEXT('Sheet1 (2)'!D8*100,"0.0") &amp; " PP"</f>
        <v>3.2 PP</v>
      </c>
      <c r="I28" s="145" t="s">
        <v>57</v>
      </c>
      <c r="J28" s="146" t="s">
        <v>6</v>
      </c>
      <c r="K28" s="147" t="str">
        <f>TEXT('Sheet1 (2)'!S35*100,"0.0") &amp; " PP"</f>
        <v>3.4 PP</v>
      </c>
      <c r="L28" s="148">
        <f>'Sheet1 (2)'!X35</f>
        <v>13.149108779380569</v>
      </c>
      <c r="M28" s="149">
        <f>'Sheet1 (2)'!O35</f>
        <v>0.03</v>
      </c>
      <c r="N28" s="150"/>
    </row>
    <row r="29" spans="4:14" ht="20" thickBot="1" x14ac:dyDescent="0.5">
      <c r="D29" s="138" t="str">
        <f>TEXT('Sheet1 (2)'!D6*100,"0.00") &amp; " PP"</f>
        <v>1.34 PP</v>
      </c>
      <c r="F29" s="111" t="s">
        <v>99</v>
      </c>
      <c r="I29" s="151"/>
      <c r="J29" s="146" t="s">
        <v>7</v>
      </c>
      <c r="K29" s="147" t="str">
        <f>TEXT('Sheet1 (2)'!S36*100,"0.0") &amp; " PP"</f>
        <v>3.8 PP</v>
      </c>
      <c r="L29" s="148">
        <f>'Sheet1 (2)'!X36</f>
        <v>14.464019657318627</v>
      </c>
      <c r="M29" s="149">
        <f>'Sheet1 (2)'!O36</f>
        <v>2.9999999999999971E-2</v>
      </c>
      <c r="N29" s="150"/>
    </row>
    <row r="30" spans="4:14" x14ac:dyDescent="0.35">
      <c r="D30" s="111" t="s">
        <v>98</v>
      </c>
      <c r="F30" s="111" t="s">
        <v>102</v>
      </c>
      <c r="I30" s="151"/>
      <c r="J30" s="146" t="s">
        <v>8</v>
      </c>
      <c r="K30" s="147" t="str">
        <f>TEXT('Sheet1 (2)'!S37*100,"0.0") &amp; " PP"</f>
        <v>-1.7 PP</v>
      </c>
      <c r="L30" s="148">
        <f>'Sheet1 (2)'!X37</f>
        <v>9.6426797715457528</v>
      </c>
      <c r="M30" s="149">
        <f>'Sheet1 (2)'!O37</f>
        <v>-1.999999999999999E-2</v>
      </c>
      <c r="N30" s="150"/>
    </row>
    <row r="31" spans="4:14" x14ac:dyDescent="0.35">
      <c r="F31" s="111" t="s">
        <v>103</v>
      </c>
      <c r="I31" s="151"/>
      <c r="J31" s="146" t="s">
        <v>9</v>
      </c>
      <c r="K31" s="147" t="str">
        <f>TEXT('Sheet1 (2)'!S38*100,"0.0") &amp; " PP"</f>
        <v>-4.3 PP</v>
      </c>
      <c r="L31" s="148">
        <f>'Sheet1 (2)'!X38</f>
        <v>9.918184907875629</v>
      </c>
      <c r="M31" s="149">
        <f>'Sheet1 (2)'!O38</f>
        <v>-4.9999999999999989E-2</v>
      </c>
      <c r="N31" s="150"/>
    </row>
    <row r="32" spans="4:14" x14ac:dyDescent="0.35">
      <c r="I32" s="151"/>
      <c r="J32" s="146" t="s">
        <v>10</v>
      </c>
      <c r="K32" s="147" t="str">
        <f>TEXT('Sheet1 (2)'!S39*100,"0.0") &amp; " PP"</f>
        <v>2.5 PP</v>
      </c>
      <c r="L32" s="148">
        <f>'Sheet1 (2)'!X39</f>
        <v>14.464019657318627</v>
      </c>
      <c r="M32" s="149">
        <f>'Sheet1 (2)'!O39</f>
        <v>2.0000000000000004E-2</v>
      </c>
      <c r="N32" s="150"/>
    </row>
    <row r="33" spans="9:14" ht="15" thickBot="1" x14ac:dyDescent="0.4">
      <c r="I33" s="152"/>
      <c r="J33" s="153" t="s">
        <v>11</v>
      </c>
      <c r="K33" s="154" t="str">
        <f>TEXT('Sheet1 (2)'!S40*100,"0.0") &amp; " PP"</f>
        <v>-0.6 PP</v>
      </c>
      <c r="L33" s="155">
        <f>'Sheet1 (2)'!X40</f>
        <v>6.4284531810305028</v>
      </c>
      <c r="M33" s="156">
        <f>'Sheet1 (2)'!O40</f>
        <v>-9.9999999999999672E-3</v>
      </c>
      <c r="N33" s="157"/>
    </row>
    <row r="34" spans="9:14" ht="15" thickBot="1" x14ac:dyDescent="0.4"/>
    <row r="35" spans="9:14" x14ac:dyDescent="0.35">
      <c r="I35" s="141"/>
      <c r="J35" s="142"/>
      <c r="K35" s="142" t="s">
        <v>4</v>
      </c>
      <c r="L35" s="143" t="s">
        <v>91</v>
      </c>
      <c r="M35" s="143" t="s">
        <v>93</v>
      </c>
      <c r="N35" s="144"/>
    </row>
    <row r="36" spans="9:14" x14ac:dyDescent="0.35">
      <c r="I36" s="145" t="s">
        <v>89</v>
      </c>
      <c r="J36" s="146" t="s">
        <v>6</v>
      </c>
      <c r="K36" s="147" t="str">
        <f>TEXT('Sheet1 (2)'!S44*100,"0.0") &amp; " PP"</f>
        <v>0.0 PP</v>
      </c>
      <c r="L36" s="148">
        <f>'Sheet1 (2)'!X44</f>
        <v>0</v>
      </c>
      <c r="M36" s="149">
        <f>'Sheet1 (2)'!O44</f>
        <v>0</v>
      </c>
      <c r="N36" s="150"/>
    </row>
    <row r="37" spans="9:14" x14ac:dyDescent="0.35">
      <c r="I37" s="151"/>
      <c r="J37" s="146" t="s">
        <v>7</v>
      </c>
      <c r="K37" s="147" t="str">
        <f>TEXT('Sheet1 (2)'!S45*100,"0.0") &amp; " PP"</f>
        <v>0.0 PP</v>
      </c>
      <c r="L37" s="148">
        <f>'Sheet1 (2)'!X45</f>
        <v>0</v>
      </c>
      <c r="M37" s="149">
        <f>'Sheet1 (2)'!O45</f>
        <v>0</v>
      </c>
      <c r="N37" s="150"/>
    </row>
    <row r="38" spans="9:14" x14ac:dyDescent="0.35">
      <c r="I38" s="151"/>
      <c r="J38" s="146" t="s">
        <v>8</v>
      </c>
      <c r="K38" s="147" t="str">
        <f>TEXT('Sheet1 (2)'!S46*100,"0.0") &amp; " PP"</f>
        <v>0.0 PP</v>
      </c>
      <c r="L38" s="148">
        <f>'Sheet1 (2)'!X46</f>
        <v>0</v>
      </c>
      <c r="M38" s="149">
        <f>'Sheet1 (2)'!O46</f>
        <v>0</v>
      </c>
      <c r="N38" s="150"/>
    </row>
    <row r="39" spans="9:14" x14ac:dyDescent="0.35">
      <c r="I39" s="151"/>
      <c r="J39" s="146" t="s">
        <v>9</v>
      </c>
      <c r="K39" s="147" t="str">
        <f>TEXT('Sheet1 (2)'!S47*100,"0.0") &amp; " PP"</f>
        <v>0.0 PP</v>
      </c>
      <c r="L39" s="148">
        <f>'Sheet1 (2)'!X47</f>
        <v>0</v>
      </c>
      <c r="M39" s="149">
        <f>'Sheet1 (2)'!O47</f>
        <v>0</v>
      </c>
      <c r="N39" s="150"/>
    </row>
    <row r="40" spans="9:14" x14ac:dyDescent="0.35">
      <c r="I40" s="151"/>
      <c r="J40" s="146" t="s">
        <v>10</v>
      </c>
      <c r="K40" s="147" t="str">
        <f>TEXT('Sheet1 (2)'!S48*100,"0.0") &amp; " PP"</f>
        <v>0.0 PP</v>
      </c>
      <c r="L40" s="148">
        <f>'Sheet1 (2)'!X48</f>
        <v>0</v>
      </c>
      <c r="M40" s="149">
        <f>'Sheet1 (2)'!O48</f>
        <v>0</v>
      </c>
      <c r="N40" s="150"/>
    </row>
    <row r="41" spans="9:14" ht="15" thickBot="1" x14ac:dyDescent="0.4">
      <c r="I41" s="152"/>
      <c r="J41" s="153" t="s">
        <v>11</v>
      </c>
      <c r="K41" s="154" t="str">
        <f>TEXT('Sheet1 (2)'!S49*100,"0.0") &amp; " PP"</f>
        <v>0.0 PP</v>
      </c>
      <c r="L41" s="155">
        <f>'Sheet1 (2)'!X49</f>
        <v>0</v>
      </c>
      <c r="M41" s="156">
        <f>'Sheet1 (2)'!O49</f>
        <v>0</v>
      </c>
      <c r="N41" s="157"/>
    </row>
    <row r="42" spans="9:14" ht="15" thickBot="1" x14ac:dyDescent="0.4"/>
    <row r="43" spans="9:14" x14ac:dyDescent="0.35">
      <c r="I43" s="141"/>
      <c r="J43" s="142"/>
      <c r="K43" s="142" t="s">
        <v>4</v>
      </c>
      <c r="L43" s="143" t="s">
        <v>91</v>
      </c>
      <c r="M43" s="143" t="s">
        <v>93</v>
      </c>
      <c r="N43" s="144"/>
    </row>
    <row r="44" spans="9:14" x14ac:dyDescent="0.35">
      <c r="I44" s="145" t="s">
        <v>89</v>
      </c>
      <c r="J44" s="146" t="s">
        <v>6</v>
      </c>
      <c r="K44" s="147" t="str">
        <f>TEXT('Sheet1 (2)'!S52*100,"0.0") &amp; " PP"</f>
        <v>0.0 PP</v>
      </c>
      <c r="L44" s="148">
        <f>'Sheet1 (2)'!X52</f>
        <v>0</v>
      </c>
      <c r="M44" s="149">
        <f>'Sheet1 (2)'!O52</f>
        <v>0</v>
      </c>
      <c r="N44" s="150"/>
    </row>
    <row r="45" spans="9:14" x14ac:dyDescent="0.35">
      <c r="I45" s="151"/>
      <c r="J45" s="146" t="s">
        <v>7</v>
      </c>
      <c r="K45" s="147" t="str">
        <f>TEXT('Sheet1 (2)'!S53*100,"0.0") &amp; " PP"</f>
        <v>0.0 PP</v>
      </c>
      <c r="L45" s="148">
        <f>'Sheet1 (2)'!X53</f>
        <v>0</v>
      </c>
      <c r="M45" s="149">
        <f>'Sheet1 (2)'!O53</f>
        <v>0</v>
      </c>
      <c r="N45" s="150"/>
    </row>
    <row r="46" spans="9:14" x14ac:dyDescent="0.35">
      <c r="I46" s="151"/>
      <c r="J46" s="146" t="s">
        <v>8</v>
      </c>
      <c r="K46" s="147" t="str">
        <f>TEXT('Sheet1 (2)'!S54*100,"0.0") &amp; " PP"</f>
        <v>0.0 PP</v>
      </c>
      <c r="L46" s="148">
        <f>'Sheet1 (2)'!X54</f>
        <v>0</v>
      </c>
      <c r="M46" s="149">
        <f>'Sheet1 (2)'!O54</f>
        <v>0</v>
      </c>
      <c r="N46" s="150"/>
    </row>
    <row r="47" spans="9:14" x14ac:dyDescent="0.35">
      <c r="I47" s="151"/>
      <c r="J47" s="146" t="s">
        <v>9</v>
      </c>
      <c r="K47" s="147" t="str">
        <f>TEXT('Sheet1 (2)'!S55*100,"0.0") &amp; " PP"</f>
        <v>0.0 PP</v>
      </c>
      <c r="L47" s="148">
        <f>'Sheet1 (2)'!X55</f>
        <v>0</v>
      </c>
      <c r="M47" s="149">
        <f>'Sheet1 (2)'!O55</f>
        <v>0</v>
      </c>
      <c r="N47" s="150"/>
    </row>
    <row r="48" spans="9:14" x14ac:dyDescent="0.35">
      <c r="I48" s="151"/>
      <c r="J48" s="146" t="s">
        <v>10</v>
      </c>
      <c r="K48" s="147" t="str">
        <f>TEXT('Sheet1 (2)'!S56*100,"0.0") &amp; " PP"</f>
        <v>0.0 PP</v>
      </c>
      <c r="L48" s="148">
        <f>'Sheet1 (2)'!X56</f>
        <v>0</v>
      </c>
      <c r="M48" s="149">
        <f>'Sheet1 (2)'!O56</f>
        <v>0</v>
      </c>
      <c r="N48" s="150"/>
    </row>
    <row r="49" spans="6:14" ht="15" thickBot="1" x14ac:dyDescent="0.4">
      <c r="I49" s="152"/>
      <c r="J49" s="153" t="s">
        <v>11</v>
      </c>
      <c r="K49" s="154" t="str">
        <f>TEXT('Sheet1 (2)'!S57*100,"0.0") &amp; " PP"</f>
        <v>0.0 PP</v>
      </c>
      <c r="L49" s="155">
        <f>'Sheet1 (2)'!X57</f>
        <v>0</v>
      </c>
      <c r="M49" s="156">
        <f>'Sheet1 (2)'!O57</f>
        <v>0</v>
      </c>
      <c r="N49" s="157"/>
    </row>
    <row r="50" spans="6:14" ht="15" thickBot="1" x14ac:dyDescent="0.4"/>
    <row r="51" spans="6:14" ht="15" thickBot="1" x14ac:dyDescent="0.4">
      <c r="I51" s="163"/>
      <c r="J51" s="164"/>
      <c r="K51" s="165" t="s">
        <v>4</v>
      </c>
      <c r="L51" s="164" t="s">
        <v>95</v>
      </c>
      <c r="M51" s="164" t="s">
        <v>94</v>
      </c>
      <c r="N51" s="166"/>
    </row>
    <row r="52" spans="6:14" ht="15" thickBot="1" x14ac:dyDescent="0.4">
      <c r="F52" s="161" t="s">
        <v>88</v>
      </c>
      <c r="G52" s="162" t="str">
        <f>TEXT('Sheet1 (2)'!D9*100,"0.0") &amp; " PP"</f>
        <v>-1.8 PP</v>
      </c>
      <c r="I52" s="167" t="s">
        <v>57</v>
      </c>
      <c r="J52" s="168" t="s">
        <v>6</v>
      </c>
      <c r="K52" s="169" t="str">
        <f>TEXT('Sheet1 (2)'!T35*100,"0.0") &amp; " PP"</f>
        <v>0.0 PP</v>
      </c>
      <c r="L52" s="170">
        <f>'Sheet1 (2)'!Z35</f>
        <v>-1.6844315001623755E-2</v>
      </c>
      <c r="M52" s="192">
        <f>'Sheet1 (2)'!M35</f>
        <v>0.25</v>
      </c>
      <c r="N52" s="171"/>
    </row>
    <row r="53" spans="6:14" x14ac:dyDescent="0.35">
      <c r="F53" s="111" t="s">
        <v>100</v>
      </c>
      <c r="I53" s="172"/>
      <c r="J53" s="168" t="s">
        <v>7</v>
      </c>
      <c r="K53" s="169" t="str">
        <f>TEXT('Sheet1 (2)'!T36*100,"0.0") &amp; " PP"</f>
        <v>-0.4 PP</v>
      </c>
      <c r="L53" s="170">
        <f>'Sheet1 (2)'!Z36</f>
        <v>-0.18981915255890058</v>
      </c>
      <c r="M53" s="192">
        <f>'Sheet1 (2)'!M36</f>
        <v>0.22999999999999998</v>
      </c>
      <c r="N53" s="171"/>
    </row>
    <row r="54" spans="6:14" x14ac:dyDescent="0.35">
      <c r="F54" s="111" t="s">
        <v>101</v>
      </c>
      <c r="I54" s="172"/>
      <c r="J54" s="168" t="s">
        <v>8</v>
      </c>
      <c r="K54" s="169" t="str">
        <f>TEXT('Sheet1 (2)'!T37*100,"0.0") &amp; " PP"</f>
        <v>-0.3 PP</v>
      </c>
      <c r="L54" s="170">
        <f>'Sheet1 (2)'!Z37</f>
        <v>-0.8487526748634231</v>
      </c>
      <c r="M54" s="192">
        <f>'Sheet1 (2)'!M37</f>
        <v>0.04</v>
      </c>
      <c r="N54" s="171"/>
    </row>
    <row r="55" spans="6:14" x14ac:dyDescent="0.35">
      <c r="I55" s="172"/>
      <c r="J55" s="168" t="s">
        <v>9</v>
      </c>
      <c r="K55" s="169" t="str">
        <f>TEXT('Sheet1 (2)'!T38*100,"0.0") &amp; " PP"</f>
        <v>-0.4 PP</v>
      </c>
      <c r="L55" s="170">
        <f>'Sheet1 (2)'!Z38</f>
        <v>-0.14715480045081897</v>
      </c>
      <c r="M55" s="192">
        <f>'Sheet1 (2)'!M38</f>
        <v>0.3</v>
      </c>
      <c r="N55" s="173"/>
    </row>
    <row r="56" spans="6:14" x14ac:dyDescent="0.35">
      <c r="I56" s="172"/>
      <c r="J56" s="168" t="s">
        <v>10</v>
      </c>
      <c r="K56" s="169" t="str">
        <f>TEXT('Sheet1 (2)'!T39*100,"0.0") &amp; " PP"</f>
        <v>2.7 PP</v>
      </c>
      <c r="L56" s="170">
        <f>'Sheet1 (2)'!Z39</f>
        <v>3.1238345360460293</v>
      </c>
      <c r="M56" s="192">
        <f>'Sheet1 (2)'!M39</f>
        <v>0.1</v>
      </c>
      <c r="N56" s="173"/>
    </row>
    <row r="57" spans="6:14" ht="15" thickBot="1" x14ac:dyDescent="0.4">
      <c r="I57" s="174"/>
      <c r="J57" s="175" t="s">
        <v>11</v>
      </c>
      <c r="K57" s="176" t="str">
        <f>TEXT('Sheet1 (2)'!T40*100,"0.0") &amp; " PP"</f>
        <v>-3.4 PP</v>
      </c>
      <c r="L57" s="177">
        <f>'Sheet1 (2)'!Z40</f>
        <v>-4.9627986649167815</v>
      </c>
      <c r="M57" s="193">
        <f>'Sheet1 (2)'!M40</f>
        <v>0.08</v>
      </c>
      <c r="N57" s="178"/>
    </row>
    <row r="58" spans="6:14" ht="15" thickBot="1" x14ac:dyDescent="0.4"/>
    <row r="59" spans="6:14" x14ac:dyDescent="0.35">
      <c r="F59" s="114"/>
      <c r="I59" s="163"/>
      <c r="J59" s="164"/>
      <c r="K59" s="165" t="s">
        <v>4</v>
      </c>
      <c r="L59" s="164" t="s">
        <v>95</v>
      </c>
      <c r="M59" s="164" t="s">
        <v>94</v>
      </c>
      <c r="N59" s="166"/>
    </row>
    <row r="60" spans="6:14" x14ac:dyDescent="0.35">
      <c r="I60" s="167" t="s">
        <v>96</v>
      </c>
      <c r="J60" s="168" t="s">
        <v>6</v>
      </c>
      <c r="K60" s="169" t="str">
        <f>TEXT('Sheet1 (2)'!T43*100,"0.0") &amp; " PP"</f>
        <v>0.0 PP</v>
      </c>
      <c r="L60" s="170">
        <f>'Sheet1 (2)'!Z43</f>
        <v>0</v>
      </c>
      <c r="M60" s="168">
        <f>'Sheet1 (2)'!M43</f>
        <v>0</v>
      </c>
      <c r="N60" s="173"/>
    </row>
    <row r="61" spans="6:14" x14ac:dyDescent="0.35">
      <c r="I61" s="172"/>
      <c r="J61" s="168" t="s">
        <v>7</v>
      </c>
      <c r="K61" s="169" t="str">
        <f>TEXT('Sheet1 (2)'!T44*100,"0.0") &amp; " PP"</f>
        <v>0.0 PP</v>
      </c>
      <c r="L61" s="170">
        <f>'Sheet1 (2)'!Z44</f>
        <v>0</v>
      </c>
      <c r="M61" s="168">
        <f>'Sheet1 (2)'!M44</f>
        <v>0</v>
      </c>
      <c r="N61" s="173"/>
    </row>
    <row r="62" spans="6:14" x14ac:dyDescent="0.35">
      <c r="I62" s="172"/>
      <c r="J62" s="168" t="s">
        <v>8</v>
      </c>
      <c r="K62" s="169" t="str">
        <f>TEXT('Sheet1 (2)'!T45*100,"0.0") &amp; " PP"</f>
        <v>0.0 PP</v>
      </c>
      <c r="L62" s="170">
        <f>'Sheet1 (2)'!Z45</f>
        <v>0</v>
      </c>
      <c r="M62" s="168">
        <f>'Sheet1 (2)'!M45</f>
        <v>0</v>
      </c>
      <c r="N62" s="173"/>
    </row>
    <row r="63" spans="6:14" x14ac:dyDescent="0.35">
      <c r="I63" s="172"/>
      <c r="J63" s="168" t="s">
        <v>9</v>
      </c>
      <c r="K63" s="169" t="str">
        <f>TEXT('Sheet1 (2)'!T46*100,"0.0") &amp; " PP"</f>
        <v>0.0 PP</v>
      </c>
      <c r="L63" s="170">
        <f>'Sheet1 (2)'!Z46</f>
        <v>0</v>
      </c>
      <c r="M63" s="168">
        <f>'Sheet1 (2)'!M46</f>
        <v>0</v>
      </c>
      <c r="N63" s="173"/>
    </row>
    <row r="64" spans="6:14" x14ac:dyDescent="0.35">
      <c r="I64" s="172"/>
      <c r="J64" s="168" t="s">
        <v>10</v>
      </c>
      <c r="K64" s="169" t="str">
        <f>TEXT('Sheet1 (2)'!T47*100,"0.0") &amp; " PP"</f>
        <v>0.0 PP</v>
      </c>
      <c r="L64" s="170">
        <f>'Sheet1 (2)'!Z47</f>
        <v>0</v>
      </c>
      <c r="M64" s="168">
        <f>'Sheet1 (2)'!M47</f>
        <v>0</v>
      </c>
      <c r="N64" s="173"/>
    </row>
    <row r="65" spans="9:14" ht="15" thickBot="1" x14ac:dyDescent="0.4">
      <c r="I65" s="174"/>
      <c r="J65" s="175" t="s">
        <v>11</v>
      </c>
      <c r="K65" s="176" t="str">
        <f>TEXT('Sheet1 (2)'!T48*100,"0.0") &amp; " PP"</f>
        <v>0.0 PP</v>
      </c>
      <c r="L65" s="177">
        <f>'Sheet1 (2)'!Z48</f>
        <v>0</v>
      </c>
      <c r="M65" s="175">
        <f>'Sheet1 (2)'!M48</f>
        <v>0</v>
      </c>
      <c r="N65" s="178"/>
    </row>
    <row r="66" spans="9:14" ht="15" thickBot="1" x14ac:dyDescent="0.4"/>
    <row r="67" spans="9:14" x14ac:dyDescent="0.35">
      <c r="I67" s="163"/>
      <c r="J67" s="164"/>
      <c r="K67" s="165" t="s">
        <v>4</v>
      </c>
      <c r="L67" s="164" t="s">
        <v>95</v>
      </c>
      <c r="M67" s="164" t="s">
        <v>94</v>
      </c>
      <c r="N67" s="166"/>
    </row>
    <row r="68" spans="9:14" x14ac:dyDescent="0.35">
      <c r="I68" s="167" t="s">
        <v>89</v>
      </c>
      <c r="J68" s="168" t="s">
        <v>6</v>
      </c>
      <c r="K68" s="169" t="str">
        <f>TEXT('Sheet1 (2)'!T51*100,"0.0") &amp; " PP"</f>
        <v>0.0 PP</v>
      </c>
      <c r="L68" s="170">
        <f>'Sheet1 (2)'!Z51</f>
        <v>0</v>
      </c>
      <c r="M68" s="168">
        <f>'Sheet1 (2)'!M51</f>
        <v>0</v>
      </c>
      <c r="N68" s="173"/>
    </row>
    <row r="69" spans="9:14" x14ac:dyDescent="0.35">
      <c r="I69" s="172"/>
      <c r="J69" s="168" t="s">
        <v>7</v>
      </c>
      <c r="K69" s="169" t="str">
        <f>TEXT('Sheet1 (2)'!T52*100,"0.0") &amp; " PP"</f>
        <v>0.0 PP</v>
      </c>
      <c r="L69" s="170">
        <f>'Sheet1 (2)'!Z52</f>
        <v>0</v>
      </c>
      <c r="M69" s="168">
        <f>'Sheet1 (2)'!M52</f>
        <v>0</v>
      </c>
      <c r="N69" s="173"/>
    </row>
    <row r="70" spans="9:14" x14ac:dyDescent="0.35">
      <c r="I70" s="172"/>
      <c r="J70" s="168" t="s">
        <v>8</v>
      </c>
      <c r="K70" s="169" t="str">
        <f>TEXT('Sheet1 (2)'!T53*100,"0.0") &amp; " PP"</f>
        <v>0.0 PP</v>
      </c>
      <c r="L70" s="170">
        <f>'Sheet1 (2)'!Z53</f>
        <v>0</v>
      </c>
      <c r="M70" s="168">
        <f>'Sheet1 (2)'!M53</f>
        <v>0</v>
      </c>
      <c r="N70" s="173"/>
    </row>
    <row r="71" spans="9:14" x14ac:dyDescent="0.35">
      <c r="I71" s="172"/>
      <c r="J71" s="168" t="s">
        <v>9</v>
      </c>
      <c r="K71" s="169" t="str">
        <f>TEXT('Sheet1 (2)'!T54*100,"0.0") &amp; " PP"</f>
        <v>0.0 PP</v>
      </c>
      <c r="L71" s="170">
        <f>'Sheet1 (2)'!Z54</f>
        <v>0</v>
      </c>
      <c r="M71" s="168">
        <f>'Sheet1 (2)'!M54</f>
        <v>0</v>
      </c>
      <c r="N71" s="173"/>
    </row>
    <row r="72" spans="9:14" x14ac:dyDescent="0.35">
      <c r="I72" s="172"/>
      <c r="J72" s="168" t="s">
        <v>10</v>
      </c>
      <c r="K72" s="169" t="str">
        <f>TEXT('Sheet1 (2)'!T55*100,"0.0") &amp; " PP"</f>
        <v>0.0 PP</v>
      </c>
      <c r="L72" s="170">
        <f>'Sheet1 (2)'!Z55</f>
        <v>0</v>
      </c>
      <c r="M72" s="168">
        <f>'Sheet1 (2)'!M55</f>
        <v>0</v>
      </c>
      <c r="N72" s="173"/>
    </row>
    <row r="73" spans="9:14" ht="15" thickBot="1" x14ac:dyDescent="0.4">
      <c r="I73" s="174"/>
      <c r="J73" s="175" t="s">
        <v>11</v>
      </c>
      <c r="K73" s="176" t="str">
        <f>TEXT('Sheet1 (2)'!T56*100,"0.0") &amp; " PP"</f>
        <v>0.0 PP</v>
      </c>
      <c r="L73" s="177">
        <f>'Sheet1 (2)'!Z56</f>
        <v>0</v>
      </c>
      <c r="M73" s="175">
        <f>'Sheet1 (2)'!M56</f>
        <v>0</v>
      </c>
      <c r="N73" s="1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B6B0-472D-4B50-B71D-101D956C8614}">
  <sheetPr>
    <tabColor theme="0" tint="-0.499984740745262"/>
  </sheetPr>
  <dimension ref="A1:Z52"/>
  <sheetViews>
    <sheetView topLeftCell="F21" workbookViewId="0">
      <selection activeCell="V55" sqref="V55"/>
    </sheetView>
  </sheetViews>
  <sheetFormatPr defaultRowHeight="14.5" x14ac:dyDescent="0.35"/>
  <cols>
    <col min="1" max="1" width="11.6328125" customWidth="1"/>
    <col min="2" max="2" width="14.7265625" customWidth="1"/>
    <col min="3" max="6" width="12.1796875" customWidth="1"/>
    <col min="8" max="8" width="11.54296875" customWidth="1"/>
    <col min="9" max="9" width="14.90625" customWidth="1"/>
    <col min="10" max="10" width="8.7265625" customWidth="1"/>
    <col min="11" max="11" width="8.6328125" customWidth="1"/>
    <col min="12" max="12" width="9.81640625" customWidth="1"/>
    <col min="13" max="13" width="8.26953125" customWidth="1"/>
    <col min="15" max="15" width="11.08984375" customWidth="1"/>
    <col min="16" max="16" width="11.7265625" customWidth="1"/>
    <col min="17" max="17" width="9.54296875" bestFit="1" customWidth="1"/>
    <col min="18" max="18" width="14.26953125" bestFit="1" customWidth="1"/>
    <col min="19" max="19" width="13.1796875" customWidth="1"/>
    <col min="20" max="20" width="15.81640625" bestFit="1" customWidth="1"/>
    <col min="21" max="21" width="11.54296875" bestFit="1" customWidth="1"/>
    <col min="22" max="22" width="13.1796875" bestFit="1" customWidth="1"/>
    <col min="23" max="23" width="15.81640625" bestFit="1" customWidth="1"/>
    <col min="24" max="26" width="14.26953125" customWidth="1"/>
    <col min="27" max="27" width="17.54296875" customWidth="1"/>
    <col min="29" max="29" width="9.6328125" bestFit="1" customWidth="1"/>
    <col min="30" max="30" width="10.36328125" bestFit="1" customWidth="1"/>
    <col min="31" max="31" width="13.1796875" bestFit="1" customWidth="1"/>
    <col min="32" max="32" width="6.36328125" customWidth="1"/>
    <col min="33" max="33" width="11.7265625" customWidth="1"/>
    <col min="34" max="34" width="10.453125" bestFit="1" customWidth="1"/>
    <col min="35" max="35" width="13.1796875" bestFit="1" customWidth="1"/>
    <col min="36" max="36" width="11.54296875" bestFit="1" customWidth="1"/>
    <col min="37" max="37" width="13.1796875" bestFit="1" customWidth="1"/>
    <col min="38" max="38" width="15.81640625" bestFit="1" customWidth="1"/>
    <col min="39" max="39" width="14.26953125" bestFit="1" customWidth="1"/>
  </cols>
  <sheetData>
    <row r="1" spans="1:5" ht="21" x14ac:dyDescent="0.5">
      <c r="A1" s="56" t="s">
        <v>45</v>
      </c>
    </row>
    <row r="2" spans="1:5" ht="16.5" x14ac:dyDescent="0.35">
      <c r="B2" t="s">
        <v>0</v>
      </c>
      <c r="C2" t="s">
        <v>29</v>
      </c>
      <c r="D2" t="s">
        <v>30</v>
      </c>
      <c r="E2" t="s">
        <v>15</v>
      </c>
    </row>
    <row r="3" spans="1:5" x14ac:dyDescent="0.35">
      <c r="A3">
        <v>2023</v>
      </c>
      <c r="B3" s="4">
        <v>481513</v>
      </c>
      <c r="C3" s="5">
        <v>41613</v>
      </c>
      <c r="D3" s="3">
        <f>B3/C3</f>
        <v>11.571215725854902</v>
      </c>
    </row>
    <row r="4" spans="1:5" x14ac:dyDescent="0.35">
      <c r="A4">
        <v>2024</v>
      </c>
      <c r="B4" s="4">
        <v>494078</v>
      </c>
      <c r="C4" s="5">
        <v>42138</v>
      </c>
      <c r="D4" s="3">
        <f>B4/C4</f>
        <v>11.725236128909772</v>
      </c>
    </row>
    <row r="5" spans="1:5" ht="15" thickBot="1" x14ac:dyDescent="0.4">
      <c r="A5" t="s">
        <v>3</v>
      </c>
      <c r="B5" s="2">
        <f>B4/B3-1</f>
        <v>2.6094830253804213E-2</v>
      </c>
      <c r="C5" s="2">
        <f t="shared" ref="C5:D5" si="0">C4/C3-1</f>
        <v>1.2616249729651807E-2</v>
      </c>
      <c r="D5" s="2">
        <f t="shared" si="0"/>
        <v>1.3310650039193739E-2</v>
      </c>
      <c r="E5" s="6">
        <f>D4-D3</f>
        <v>0.15402040305487041</v>
      </c>
    </row>
    <row r="6" spans="1:5" ht="15" thickBot="1" x14ac:dyDescent="0.4">
      <c r="A6" s="51" t="s">
        <v>4</v>
      </c>
      <c r="B6" s="52">
        <f>SUM(C6:D6)</f>
        <v>2.6094830253804015E-2</v>
      </c>
      <c r="C6" s="49">
        <f>C5+0.5*(C5*D5)</f>
        <v>1.2700214972131042E-2</v>
      </c>
      <c r="D6" s="50">
        <f>D5+0.5*(D5*C5)</f>
        <v>1.3394615281672973E-2</v>
      </c>
    </row>
    <row r="7" spans="1:5" ht="15" thickBot="1" x14ac:dyDescent="0.4">
      <c r="C7" s="29"/>
      <c r="D7" s="2"/>
    </row>
    <row r="8" spans="1:5" ht="16.5" x14ac:dyDescent="0.35">
      <c r="A8" s="58" t="s">
        <v>31</v>
      </c>
      <c r="B8" s="59"/>
      <c r="C8" s="60"/>
      <c r="D8" s="61">
        <f>SUM(S35:S40)</f>
        <v>3.1511544011544004E-2</v>
      </c>
    </row>
    <row r="9" spans="1:5" ht="17" thickBot="1" x14ac:dyDescent="0.4">
      <c r="A9" s="62" t="s">
        <v>32</v>
      </c>
      <c r="B9" s="63"/>
      <c r="C9" s="64"/>
      <c r="D9" s="65">
        <f>SUM(T35:T40)</f>
        <v>-1.8200893972350109E-2</v>
      </c>
    </row>
    <row r="10" spans="1:5" x14ac:dyDescent="0.35">
      <c r="C10" s="109"/>
      <c r="D10" s="110"/>
    </row>
    <row r="11" spans="1:5" x14ac:dyDescent="0.35">
      <c r="A11" s="55" t="s">
        <v>48</v>
      </c>
      <c r="C11" s="53"/>
      <c r="D11" s="54"/>
    </row>
    <row r="12" spans="1:5" x14ac:dyDescent="0.35">
      <c r="A12" s="55" t="s">
        <v>51</v>
      </c>
      <c r="C12" s="53"/>
      <c r="D12" s="54"/>
    </row>
    <row r="13" spans="1:5" x14ac:dyDescent="0.35">
      <c r="A13" s="55" t="s">
        <v>54</v>
      </c>
      <c r="C13" s="53"/>
      <c r="D13" s="54"/>
    </row>
    <row r="14" spans="1:5" x14ac:dyDescent="0.35">
      <c r="A14" s="55" t="s">
        <v>52</v>
      </c>
      <c r="C14" s="53"/>
      <c r="D14" s="54"/>
    </row>
    <row r="15" spans="1:5" x14ac:dyDescent="0.35">
      <c r="A15" s="55" t="s">
        <v>53</v>
      </c>
      <c r="C15" s="53"/>
      <c r="D15" s="54"/>
    </row>
    <row r="16" spans="1:5" x14ac:dyDescent="0.35">
      <c r="A16" s="55"/>
      <c r="C16" s="53"/>
      <c r="D16" s="54"/>
    </row>
    <row r="17" spans="1:17" x14ac:dyDescent="0.35">
      <c r="A17" s="55"/>
      <c r="C17" s="53"/>
      <c r="D17" s="54"/>
    </row>
    <row r="18" spans="1:17" ht="14.5" customHeight="1" x14ac:dyDescent="0.35">
      <c r="A18" s="55" t="s">
        <v>47</v>
      </c>
      <c r="C18" s="53"/>
      <c r="D18" s="54"/>
    </row>
    <row r="19" spans="1:17" x14ac:dyDescent="0.35">
      <c r="A19" s="55" t="s">
        <v>33</v>
      </c>
      <c r="C19" s="29"/>
      <c r="D19" s="2"/>
    </row>
    <row r="20" spans="1:17" ht="16.5" x14ac:dyDescent="0.35">
      <c r="A20" s="55" t="s">
        <v>46</v>
      </c>
      <c r="C20" s="29"/>
      <c r="D20" s="2"/>
    </row>
    <row r="21" spans="1:17" x14ac:dyDescent="0.35">
      <c r="A21" s="55" t="s">
        <v>34</v>
      </c>
      <c r="C21" s="29"/>
      <c r="D21" s="2"/>
    </row>
    <row r="22" spans="1:17" x14ac:dyDescent="0.35">
      <c r="A22" s="55" t="s">
        <v>35</v>
      </c>
      <c r="C22" s="29"/>
      <c r="D22" s="2"/>
    </row>
    <row r="23" spans="1:17" x14ac:dyDescent="0.35">
      <c r="A23" t="s">
        <v>36</v>
      </c>
      <c r="C23" s="29"/>
      <c r="D23" s="2"/>
    </row>
    <row r="24" spans="1:17" x14ac:dyDescent="0.35">
      <c r="A24" t="s">
        <v>37</v>
      </c>
      <c r="C24" s="29"/>
      <c r="D24" s="2"/>
    </row>
    <row r="25" spans="1:17" x14ac:dyDescent="0.35">
      <c r="A25" s="55" t="s">
        <v>38</v>
      </c>
      <c r="C25" s="29"/>
      <c r="D25" s="2"/>
    </row>
    <row r="26" spans="1:17" x14ac:dyDescent="0.35">
      <c r="A26" t="s">
        <v>39</v>
      </c>
      <c r="C26" s="1"/>
    </row>
    <row r="27" spans="1:17" x14ac:dyDescent="0.35">
      <c r="A27" s="55" t="s">
        <v>40</v>
      </c>
      <c r="C27" s="1"/>
    </row>
    <row r="28" spans="1:17" x14ac:dyDescent="0.35">
      <c r="A28" s="55"/>
      <c r="C28" s="1"/>
    </row>
    <row r="29" spans="1:17" x14ac:dyDescent="0.35">
      <c r="J29" s="1"/>
    </row>
    <row r="30" spans="1:17" ht="21" x14ac:dyDescent="0.5">
      <c r="A30" s="56" t="s">
        <v>44</v>
      </c>
      <c r="H30" s="56" t="s">
        <v>1</v>
      </c>
      <c r="J30" s="1"/>
      <c r="Q30" s="56" t="s">
        <v>2</v>
      </c>
    </row>
    <row r="31" spans="1:17" ht="15" thickBot="1" x14ac:dyDescent="0.4"/>
    <row r="32" spans="1:17" ht="15" thickBot="1" x14ac:dyDescent="0.4">
      <c r="C32" s="179">
        <v>2023</v>
      </c>
      <c r="D32" s="181"/>
      <c r="E32" s="180">
        <v>2024</v>
      </c>
      <c r="F32" s="181"/>
      <c r="J32" s="179">
        <v>2023</v>
      </c>
      <c r="K32" s="181"/>
      <c r="L32" s="179">
        <v>2024</v>
      </c>
      <c r="M32" s="181"/>
      <c r="N32" s="179" t="s">
        <v>3</v>
      </c>
      <c r="O32" s="181"/>
    </row>
    <row r="33" spans="1:26" ht="15" thickBot="1" x14ac:dyDescent="0.4">
      <c r="B33" s="72" t="s">
        <v>25</v>
      </c>
      <c r="C33" s="73" t="s">
        <v>12</v>
      </c>
      <c r="D33" s="77" t="s">
        <v>13</v>
      </c>
      <c r="E33" t="s">
        <v>12</v>
      </c>
      <c r="F33" s="77" t="s">
        <v>13</v>
      </c>
      <c r="I33" s="72" t="s">
        <v>25</v>
      </c>
      <c r="J33" s="73" t="s">
        <v>12</v>
      </c>
      <c r="K33" s="77" t="s">
        <v>13</v>
      </c>
      <c r="L33" s="73" t="s">
        <v>12</v>
      </c>
      <c r="M33" s="77" t="s">
        <v>13</v>
      </c>
      <c r="N33" s="73" t="s">
        <v>41</v>
      </c>
      <c r="O33" s="77" t="s">
        <v>42</v>
      </c>
      <c r="R33" s="97" t="s">
        <v>25</v>
      </c>
      <c r="S33" s="83" t="s">
        <v>26</v>
      </c>
      <c r="T33" s="85" t="s">
        <v>27</v>
      </c>
      <c r="U33" s="83" t="s">
        <v>24</v>
      </c>
      <c r="V33" s="84" t="s">
        <v>17</v>
      </c>
      <c r="W33" s="84" t="s">
        <v>21</v>
      </c>
      <c r="X33" s="179" t="s">
        <v>43</v>
      </c>
      <c r="Y33" s="180"/>
      <c r="Z33" s="181"/>
    </row>
    <row r="34" spans="1:26" x14ac:dyDescent="0.35">
      <c r="A34" s="72" t="s">
        <v>5</v>
      </c>
      <c r="B34" s="74"/>
      <c r="C34" s="73"/>
      <c r="D34" s="77"/>
      <c r="F34" s="77"/>
      <c r="H34" s="72" t="s">
        <v>5</v>
      </c>
      <c r="I34" s="73"/>
      <c r="J34" s="73"/>
      <c r="K34" s="77"/>
      <c r="L34" s="73"/>
      <c r="M34" s="77"/>
      <c r="N34" s="73"/>
      <c r="O34" s="77"/>
      <c r="Q34" s="69" t="s">
        <v>5</v>
      </c>
      <c r="R34" s="97"/>
      <c r="S34" s="83"/>
      <c r="T34" s="85"/>
      <c r="U34" s="83"/>
      <c r="V34" s="84"/>
      <c r="W34" s="84"/>
      <c r="X34" s="107">
        <v>2023</v>
      </c>
      <c r="Y34" s="27">
        <v>2024</v>
      </c>
      <c r="Z34" s="108" t="s">
        <v>15</v>
      </c>
    </row>
    <row r="35" spans="1:26" x14ac:dyDescent="0.35">
      <c r="A35" s="73" t="s">
        <v>6</v>
      </c>
      <c r="B35" s="75">
        <f>I35+R35</f>
        <v>6.6881044443387189E-2</v>
      </c>
      <c r="C35" s="78">
        <v>120378.25</v>
      </c>
      <c r="D35" s="79">
        <f t="shared" ref="D35:D40" si="1">C35/$B$3</f>
        <v>0.25</v>
      </c>
      <c r="E35" s="66">
        <v>138341.84</v>
      </c>
      <c r="F35" s="79">
        <f t="shared" ref="F35:F40" si="2">E35/$B$4</f>
        <v>0.27999999999999997</v>
      </c>
      <c r="H35" s="73" t="s">
        <v>6</v>
      </c>
      <c r="I35" s="88">
        <f>K35*N35</f>
        <v>3.3154062432412909E-2</v>
      </c>
      <c r="J35" s="90">
        <v>9154.86</v>
      </c>
      <c r="K35" s="79">
        <f t="shared" ref="K35:K40" si="3">J35/$C$3</f>
        <v>0.22</v>
      </c>
      <c r="L35" s="90">
        <v>10534.5</v>
      </c>
      <c r="M35" s="79">
        <f t="shared" ref="M35:M40" si="4">L35/$C$4</f>
        <v>0.25</v>
      </c>
      <c r="N35" s="92">
        <f t="shared" ref="N35:N40" si="5">L35/J35-1</f>
        <v>0.15070028378369504</v>
      </c>
      <c r="O35" s="93">
        <f t="shared" ref="O35:O40" si="6">M35-K35</f>
        <v>0.03</v>
      </c>
      <c r="P35" s="57"/>
      <c r="Q35" s="70" t="s">
        <v>6</v>
      </c>
      <c r="R35" s="86">
        <f>U35/$D$3</f>
        <v>3.3726982010974287E-2</v>
      </c>
      <c r="S35" s="92">
        <f>V35/$D$3</f>
        <v>3.4090909090909081E-2</v>
      </c>
      <c r="T35" s="79">
        <f t="shared" ref="R35:T40" si="7">W35/$D$3</f>
        <v>-3.639270799347937E-4</v>
      </c>
      <c r="U35" s="98">
        <f>SUM(V35:W35)</f>
        <v>0.39026218463101109</v>
      </c>
      <c r="V35" s="6">
        <f>O35*X35</f>
        <v>0.39447326338141703</v>
      </c>
      <c r="W35" s="32">
        <f>M35*Z35</f>
        <v>-4.2110787504059388E-3</v>
      </c>
      <c r="X35" s="102">
        <f t="shared" ref="X35:X40" si="8">C35/J35</f>
        <v>13.149108779380569</v>
      </c>
      <c r="Y35" s="96">
        <f t="shared" ref="Y35:Y40" si="9">E35/L35</f>
        <v>13.132264464378945</v>
      </c>
      <c r="Z35" s="103">
        <f t="shared" ref="Z35:Z40" si="10">Y35-X35</f>
        <v>-1.6844315001623755E-2</v>
      </c>
    </row>
    <row r="36" spans="1:26" x14ac:dyDescent="0.35">
      <c r="A36" s="73" t="s">
        <v>7</v>
      </c>
      <c r="B36" s="75">
        <f t="shared" ref="B36:B40" si="11">I36+R36</f>
        <v>6.6628719448794199E-2</v>
      </c>
      <c r="C36" s="78">
        <v>120378.25</v>
      </c>
      <c r="D36" s="79">
        <f t="shared" si="1"/>
        <v>0.25</v>
      </c>
      <c r="E36" s="66">
        <v>138341.84000000003</v>
      </c>
      <c r="F36" s="79">
        <f t="shared" si="2"/>
        <v>0.28000000000000003</v>
      </c>
      <c r="H36" s="73" t="s">
        <v>7</v>
      </c>
      <c r="I36" s="88">
        <f t="shared" ref="I36:I40" si="12">K36*N36</f>
        <v>3.2901737437819899E-2</v>
      </c>
      <c r="J36" s="90">
        <v>8322.6</v>
      </c>
      <c r="K36" s="79">
        <f t="shared" si="3"/>
        <v>0.2</v>
      </c>
      <c r="L36" s="90">
        <v>9691.74</v>
      </c>
      <c r="M36" s="79">
        <f t="shared" si="4"/>
        <v>0.22999999999999998</v>
      </c>
      <c r="N36" s="92">
        <f t="shared" si="5"/>
        <v>0.1645086871890995</v>
      </c>
      <c r="O36" s="93">
        <f t="shared" si="6"/>
        <v>2.9999999999999971E-2</v>
      </c>
      <c r="P36" s="57"/>
      <c r="Q36" s="70" t="s">
        <v>7</v>
      </c>
      <c r="R36" s="86">
        <f>U36/$D$3</f>
        <v>3.3726982010974307E-2</v>
      </c>
      <c r="S36" s="92">
        <f t="shared" si="7"/>
        <v>3.7499999999999964E-2</v>
      </c>
      <c r="T36" s="79">
        <f t="shared" si="7"/>
        <v>-3.7730179890256578E-3</v>
      </c>
      <c r="U36" s="98">
        <f t="shared" ref="U36:U40" si="13">SUM(V36:W36)</f>
        <v>0.39026218463101126</v>
      </c>
      <c r="V36" s="6">
        <f t="shared" ref="V36:V40" si="14">O36*X36</f>
        <v>0.43392058971955838</v>
      </c>
      <c r="W36" s="32">
        <f t="shared" ref="W36:W40" si="15">M36*Z36</f>
        <v>-4.3658405088547132E-2</v>
      </c>
      <c r="X36" s="102">
        <f t="shared" si="8"/>
        <v>14.464019657318627</v>
      </c>
      <c r="Y36" s="96">
        <f t="shared" si="9"/>
        <v>14.274200504759726</v>
      </c>
      <c r="Z36" s="103">
        <f t="shared" si="10"/>
        <v>-0.18981915255890058</v>
      </c>
    </row>
    <row r="37" spans="1:26" x14ac:dyDescent="0.35">
      <c r="A37" s="73" t="s">
        <v>8</v>
      </c>
      <c r="B37" s="75">
        <f t="shared" si="11"/>
        <v>-3.9096030509638099E-2</v>
      </c>
      <c r="C37" s="78">
        <v>24075.65</v>
      </c>
      <c r="D37" s="79">
        <f t="shared" si="1"/>
        <v>0.05</v>
      </c>
      <c r="E37" s="66">
        <v>14822.34</v>
      </c>
      <c r="F37" s="79">
        <f t="shared" si="2"/>
        <v>0.03</v>
      </c>
      <c r="H37" s="73" t="s">
        <v>8</v>
      </c>
      <c r="I37" s="88">
        <f t="shared" si="12"/>
        <v>-1.9495350010813921E-2</v>
      </c>
      <c r="J37" s="90">
        <v>2496.7799999999997</v>
      </c>
      <c r="K37" s="79">
        <f t="shared" si="3"/>
        <v>5.9999999999999991E-2</v>
      </c>
      <c r="L37" s="90">
        <v>1685.52</v>
      </c>
      <c r="M37" s="79">
        <f t="shared" si="4"/>
        <v>0.04</v>
      </c>
      <c r="N37" s="92">
        <f t="shared" si="5"/>
        <v>-0.32492250018023205</v>
      </c>
      <c r="O37" s="93">
        <f t="shared" si="6"/>
        <v>-1.999999999999999E-2</v>
      </c>
      <c r="P37" s="57"/>
      <c r="Q37" s="70" t="s">
        <v>8</v>
      </c>
      <c r="R37" s="86">
        <f t="shared" si="7"/>
        <v>-1.9600680498824182E-2</v>
      </c>
      <c r="S37" s="92">
        <f t="shared" si="7"/>
        <v>-1.6666666666666659E-2</v>
      </c>
      <c r="T37" s="79">
        <f t="shared" si="7"/>
        <v>-2.9340138321575222E-3</v>
      </c>
      <c r="U37" s="98">
        <f t="shared" si="13"/>
        <v>-0.22680370242545189</v>
      </c>
      <c r="V37" s="6">
        <f t="shared" si="14"/>
        <v>-0.19285359543091496</v>
      </c>
      <c r="W37" s="32">
        <f t="shared" si="15"/>
        <v>-3.3950106994536926E-2</v>
      </c>
      <c r="X37" s="102">
        <f t="shared" si="8"/>
        <v>9.6426797715457528</v>
      </c>
      <c r="Y37" s="96">
        <f t="shared" si="9"/>
        <v>8.7939270966823297</v>
      </c>
      <c r="Z37" s="103">
        <f t="shared" si="10"/>
        <v>-0.8487526748634231</v>
      </c>
    </row>
    <row r="38" spans="1:26" x14ac:dyDescent="0.35">
      <c r="A38" s="73" t="s">
        <v>9</v>
      </c>
      <c r="B38" s="75">
        <f t="shared" si="11"/>
        <v>-9.2887462571305951E-2</v>
      </c>
      <c r="C38" s="78">
        <v>144453.9</v>
      </c>
      <c r="D38" s="79">
        <f t="shared" si="1"/>
        <v>0.3</v>
      </c>
      <c r="E38" s="66">
        <v>123519.5</v>
      </c>
      <c r="F38" s="79">
        <f t="shared" si="2"/>
        <v>0.25</v>
      </c>
      <c r="H38" s="73" t="s">
        <v>9</v>
      </c>
      <c r="I38" s="88">
        <f t="shared" si="12"/>
        <v>-4.6215125081104445E-2</v>
      </c>
      <c r="J38" s="90">
        <v>14564.55</v>
      </c>
      <c r="K38" s="79">
        <f t="shared" si="3"/>
        <v>0.35</v>
      </c>
      <c r="L38" s="90">
        <v>12641.4</v>
      </c>
      <c r="M38" s="79">
        <f t="shared" si="4"/>
        <v>0.3</v>
      </c>
      <c r="N38" s="92">
        <f t="shared" si="5"/>
        <v>-0.13204321451744128</v>
      </c>
      <c r="O38" s="93">
        <f t="shared" si="6"/>
        <v>-4.9999999999999989E-2</v>
      </c>
      <c r="P38" s="57"/>
      <c r="Q38" s="70" t="s">
        <v>9</v>
      </c>
      <c r="R38" s="86">
        <f t="shared" si="7"/>
        <v>-4.6672337490201513E-2</v>
      </c>
      <c r="S38" s="92">
        <f t="shared" si="7"/>
        <v>-4.2857142857142844E-2</v>
      </c>
      <c r="T38" s="79">
        <f t="shared" si="7"/>
        <v>-3.8151946330586689E-3</v>
      </c>
      <c r="U38" s="98">
        <f t="shared" si="13"/>
        <v>-0.54005568552902705</v>
      </c>
      <c r="V38" s="6">
        <f t="shared" si="14"/>
        <v>-0.49590924539378134</v>
      </c>
      <c r="W38" s="32">
        <f t="shared" si="15"/>
        <v>-4.4146440135245692E-2</v>
      </c>
      <c r="X38" s="102">
        <f t="shared" si="8"/>
        <v>9.918184907875629</v>
      </c>
      <c r="Y38" s="96">
        <f t="shared" si="9"/>
        <v>9.77103010742481</v>
      </c>
      <c r="Z38" s="103">
        <f t="shared" si="10"/>
        <v>-0.14715480045081897</v>
      </c>
    </row>
    <row r="39" spans="1:26" x14ac:dyDescent="0.35">
      <c r="A39" s="73" t="s">
        <v>10</v>
      </c>
      <c r="B39" s="75">
        <f t="shared" si="11"/>
        <v>7.325822247884424E-2</v>
      </c>
      <c r="C39" s="78">
        <v>48151.3</v>
      </c>
      <c r="D39" s="79">
        <f t="shared" si="1"/>
        <v>0.1</v>
      </c>
      <c r="E39" s="66">
        <v>74111.7</v>
      </c>
      <c r="F39" s="79">
        <f t="shared" si="2"/>
        <v>0.15</v>
      </c>
      <c r="H39" s="73" t="s">
        <v>10</v>
      </c>
      <c r="I39" s="88">
        <f t="shared" si="12"/>
        <v>2.1261624972965177E-2</v>
      </c>
      <c r="J39" s="90">
        <v>3329.04</v>
      </c>
      <c r="K39" s="79">
        <f t="shared" si="3"/>
        <v>0.08</v>
      </c>
      <c r="L39" s="90">
        <v>4213.8</v>
      </c>
      <c r="M39" s="79">
        <f t="shared" si="4"/>
        <v>0.1</v>
      </c>
      <c r="N39" s="92">
        <f t="shared" si="5"/>
        <v>0.2657703121620647</v>
      </c>
      <c r="O39" s="93">
        <f t="shared" si="6"/>
        <v>2.0000000000000004E-2</v>
      </c>
      <c r="P39" s="57"/>
      <c r="Q39" s="70" t="s">
        <v>10</v>
      </c>
      <c r="R39" s="86">
        <f t="shared" si="7"/>
        <v>5.1996597505879066E-2</v>
      </c>
      <c r="S39" s="92">
        <f t="shared" si="7"/>
        <v>2.5000000000000005E-2</v>
      </c>
      <c r="T39" s="79">
        <f t="shared" si="7"/>
        <v>2.6996597505879055E-2</v>
      </c>
      <c r="U39" s="98">
        <f t="shared" si="13"/>
        <v>0.60166384675097562</v>
      </c>
      <c r="V39" s="6">
        <f t="shared" si="14"/>
        <v>0.28928039314637261</v>
      </c>
      <c r="W39" s="32">
        <f t="shared" si="15"/>
        <v>0.31238345360460296</v>
      </c>
      <c r="X39" s="102">
        <f t="shared" si="8"/>
        <v>14.464019657318627</v>
      </c>
      <c r="Y39" s="96">
        <f t="shared" si="9"/>
        <v>17.587854193364656</v>
      </c>
      <c r="Z39" s="103">
        <f t="shared" si="10"/>
        <v>3.1238345360460293</v>
      </c>
    </row>
    <row r="40" spans="1:26" ht="15" thickBot="1" x14ac:dyDescent="0.4">
      <c r="A40" s="62" t="s">
        <v>11</v>
      </c>
      <c r="B40" s="76">
        <f t="shared" si="11"/>
        <v>-4.8857593521235879E-2</v>
      </c>
      <c r="C40" s="80">
        <v>24075.65</v>
      </c>
      <c r="D40" s="82">
        <f t="shared" si="1"/>
        <v>0.05</v>
      </c>
      <c r="E40" s="81">
        <v>4940.78</v>
      </c>
      <c r="F40" s="82">
        <f t="shared" si="2"/>
        <v>0.01</v>
      </c>
      <c r="H40" s="62" t="s">
        <v>11</v>
      </c>
      <c r="I40" s="89">
        <f t="shared" si="12"/>
        <v>-8.9907000216278236E-3</v>
      </c>
      <c r="J40" s="91">
        <v>3745.1699999999987</v>
      </c>
      <c r="K40" s="82">
        <f t="shared" si="3"/>
        <v>8.9999999999999969E-2</v>
      </c>
      <c r="L40" s="91">
        <v>3371.04</v>
      </c>
      <c r="M40" s="82">
        <f t="shared" si="4"/>
        <v>0.08</v>
      </c>
      <c r="N40" s="94">
        <f t="shared" si="5"/>
        <v>-9.9896666906975851E-2</v>
      </c>
      <c r="O40" s="95">
        <f t="shared" si="6"/>
        <v>-9.9999999999999672E-3</v>
      </c>
      <c r="P40" s="57"/>
      <c r="Q40" s="71" t="s">
        <v>11</v>
      </c>
      <c r="R40" s="87">
        <f t="shared" si="7"/>
        <v>-3.9866893499608057E-2</v>
      </c>
      <c r="S40" s="94">
        <f t="shared" si="7"/>
        <v>-5.5555555555555384E-3</v>
      </c>
      <c r="T40" s="82">
        <f t="shared" si="7"/>
        <v>-3.4311337944052521E-2</v>
      </c>
      <c r="U40" s="99">
        <f t="shared" si="13"/>
        <v>-0.46130842500364733</v>
      </c>
      <c r="V40" s="100">
        <f t="shared" si="14"/>
        <v>-6.4284531810304815E-2</v>
      </c>
      <c r="W40" s="101">
        <f t="shared" si="15"/>
        <v>-0.39702389319334253</v>
      </c>
      <c r="X40" s="104">
        <f t="shared" si="8"/>
        <v>6.4284531810305028</v>
      </c>
      <c r="Y40" s="105">
        <f t="shared" si="9"/>
        <v>1.4656545161137216</v>
      </c>
      <c r="Z40" s="106">
        <f t="shared" si="10"/>
        <v>-4.9627986649167815</v>
      </c>
    </row>
    <row r="41" spans="1:26" x14ac:dyDescent="0.35">
      <c r="A41" s="20" t="s">
        <v>14</v>
      </c>
      <c r="B41" s="67">
        <f>SUM(B35:B40)</f>
        <v>2.5926899768845699E-2</v>
      </c>
      <c r="C41" s="21">
        <f>SUM(C35:C40)</f>
        <v>481513.00000000006</v>
      </c>
      <c r="D41" s="68">
        <f>SUM(D35:D40)</f>
        <v>1</v>
      </c>
      <c r="E41" s="21">
        <f>SUM(E35:E40)</f>
        <v>494078.00000000012</v>
      </c>
      <c r="F41" s="68">
        <f>SUM(F35:F40)</f>
        <v>1</v>
      </c>
      <c r="H41" s="20" t="s">
        <v>14</v>
      </c>
      <c r="I41" s="28">
        <f>SUM(I35:I40)</f>
        <v>1.2616249729651788E-2</v>
      </c>
      <c r="J41" s="21">
        <f>SUM(J35:J40)</f>
        <v>41612.999999999993</v>
      </c>
      <c r="K41" s="22">
        <f>SUM(K35:K40)</f>
        <v>1</v>
      </c>
      <c r="L41" s="21">
        <f>SUM(L35:L40)</f>
        <v>42138</v>
      </c>
      <c r="M41" s="22">
        <f t="shared" ref="M41" si="16">SUM(M35:M40)</f>
        <v>1</v>
      </c>
      <c r="Q41" s="20" t="s">
        <v>14</v>
      </c>
      <c r="R41" s="67">
        <f>SUM(R35:R40)</f>
        <v>1.3310650039193898E-2</v>
      </c>
      <c r="U41" s="33">
        <f>SUM(U35:U40)</f>
        <v>0.15402040305487164</v>
      </c>
    </row>
    <row r="43" spans="1:26" x14ac:dyDescent="0.35">
      <c r="H43" t="s">
        <v>49</v>
      </c>
    </row>
    <row r="44" spans="1:26" x14ac:dyDescent="0.35">
      <c r="H44" t="s">
        <v>50</v>
      </c>
      <c r="Q44" s="55" t="s">
        <v>19</v>
      </c>
      <c r="R44" s="55" t="s">
        <v>18</v>
      </c>
      <c r="S44" s="55"/>
      <c r="T44" s="55"/>
    </row>
    <row r="45" spans="1:26" x14ac:dyDescent="0.35">
      <c r="Q45" s="55"/>
      <c r="R45" s="55" t="s">
        <v>20</v>
      </c>
      <c r="S45" s="55"/>
      <c r="T45" s="55"/>
    </row>
    <row r="46" spans="1:26" x14ac:dyDescent="0.35">
      <c r="Q46" s="55" t="s">
        <v>21</v>
      </c>
      <c r="R46" s="55" t="s">
        <v>22</v>
      </c>
      <c r="S46" s="55"/>
      <c r="T46" s="55"/>
    </row>
    <row r="47" spans="1:26" x14ac:dyDescent="0.35">
      <c r="Q47" s="55"/>
      <c r="R47" s="55" t="s">
        <v>23</v>
      </c>
      <c r="S47" s="55"/>
      <c r="T47" s="55"/>
    </row>
    <row r="48" spans="1:26" x14ac:dyDescent="0.35">
      <c r="Q48" s="55"/>
      <c r="R48" s="55"/>
      <c r="S48" s="55"/>
      <c r="T48" s="55"/>
    </row>
    <row r="49" spans="8:20" x14ac:dyDescent="0.35">
      <c r="Q49" s="55"/>
      <c r="R49" s="55"/>
      <c r="S49" s="55"/>
      <c r="T49" s="55"/>
    </row>
    <row r="50" spans="8:20" x14ac:dyDescent="0.35">
      <c r="Q50" s="55" t="s">
        <v>28</v>
      </c>
      <c r="R50" s="55"/>
      <c r="S50" s="55"/>
      <c r="T50" s="55"/>
    </row>
    <row r="51" spans="8:20" x14ac:dyDescent="0.35">
      <c r="Q51" s="55"/>
      <c r="R51" s="55"/>
      <c r="S51" s="55"/>
      <c r="T51" s="55"/>
    </row>
    <row r="52" spans="8:20" x14ac:dyDescent="0.35">
      <c r="H52" s="55"/>
      <c r="I52" s="55"/>
      <c r="J52" s="55"/>
      <c r="K52" s="55"/>
    </row>
  </sheetData>
  <mergeCells count="6">
    <mergeCell ref="X33:Z33"/>
    <mergeCell ref="J32:K32"/>
    <mergeCell ref="L32:M32"/>
    <mergeCell ref="N32:O32"/>
    <mergeCell ref="C32:D32"/>
    <mergeCell ref="E32:F32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6367-0318-4CB5-890F-425467338798}">
  <dimension ref="A1:AC28"/>
  <sheetViews>
    <sheetView workbookViewId="0">
      <selection activeCell="C6" sqref="C6"/>
    </sheetView>
  </sheetViews>
  <sheetFormatPr defaultRowHeight="14.5" x14ac:dyDescent="0.35"/>
  <cols>
    <col min="1" max="1" width="11.7265625" bestFit="1" customWidth="1"/>
    <col min="2" max="2" width="12.08984375" bestFit="1" customWidth="1"/>
    <col min="3" max="3" width="13.36328125" customWidth="1"/>
    <col min="4" max="4" width="13.81640625" customWidth="1"/>
    <col min="6" max="6" width="9.54296875" customWidth="1"/>
    <col min="8" max="8" width="3" customWidth="1"/>
    <col min="9" max="10" width="9.54296875" bestFit="1" customWidth="1"/>
    <col min="16" max="16" width="2.81640625" customWidth="1"/>
    <col min="19" max="19" width="10.36328125" bestFit="1" customWidth="1"/>
    <col min="20" max="20" width="13.1796875" bestFit="1" customWidth="1"/>
    <col min="21" max="21" width="3.1796875" customWidth="1"/>
    <col min="22" max="22" width="11.7265625" customWidth="1"/>
    <col min="23" max="23" width="10.453125" bestFit="1" customWidth="1"/>
    <col min="24" max="24" width="13.1796875" bestFit="1" customWidth="1"/>
    <col min="25" max="25" width="11.54296875" bestFit="1" customWidth="1"/>
    <col min="26" max="26" width="13.1796875" bestFit="1" customWidth="1"/>
    <col min="27" max="27" width="15.81640625" bestFit="1" customWidth="1"/>
    <col min="28" max="28" width="14.26953125" bestFit="1" customWidth="1"/>
  </cols>
  <sheetData>
    <row r="1" spans="1:29" x14ac:dyDescent="0.35">
      <c r="B1" t="s">
        <v>0</v>
      </c>
      <c r="C1" t="s">
        <v>1</v>
      </c>
      <c r="D1" t="s">
        <v>2</v>
      </c>
      <c r="E1" t="s">
        <v>15</v>
      </c>
    </row>
    <row r="2" spans="1:29" x14ac:dyDescent="0.35">
      <c r="A2">
        <v>2023</v>
      </c>
      <c r="B2" s="4">
        <v>481513</v>
      </c>
      <c r="C2" s="5">
        <v>41613</v>
      </c>
      <c r="D2" s="3">
        <f>B2/C2</f>
        <v>11.571215725854902</v>
      </c>
    </row>
    <row r="3" spans="1:29" x14ac:dyDescent="0.35">
      <c r="A3">
        <v>2024</v>
      </c>
      <c r="B3" s="4">
        <v>494078</v>
      </c>
      <c r="C3" s="5">
        <v>42138</v>
      </c>
      <c r="D3" s="3">
        <f>B3/C3</f>
        <v>11.725236128909772</v>
      </c>
    </row>
    <row r="4" spans="1:29" x14ac:dyDescent="0.35">
      <c r="A4" t="s">
        <v>3</v>
      </c>
      <c r="B4" s="2">
        <f>B3/B2-1</f>
        <v>2.6094830253804213E-2</v>
      </c>
      <c r="C4" s="2">
        <f t="shared" ref="C4:D4" si="0">C3/C2-1</f>
        <v>1.2616249729651807E-2</v>
      </c>
      <c r="D4" s="2">
        <f t="shared" si="0"/>
        <v>1.3310650039193739E-2</v>
      </c>
      <c r="E4" s="6">
        <f>D3-D2</f>
        <v>0.15402040305487041</v>
      </c>
    </row>
    <row r="5" spans="1:29" x14ac:dyDescent="0.35">
      <c r="A5" s="20" t="s">
        <v>4</v>
      </c>
      <c r="B5" s="20"/>
      <c r="C5" s="28">
        <f>C4+0.5*(C4*D4)</f>
        <v>1.2700214972131042E-2</v>
      </c>
      <c r="D5" s="28">
        <f>D4+0.5*(D4*C4)</f>
        <v>1.3394615281672973E-2</v>
      </c>
    </row>
    <row r="6" spans="1:29" x14ac:dyDescent="0.35">
      <c r="C6" s="29"/>
      <c r="D6" s="2"/>
    </row>
    <row r="7" spans="1:29" x14ac:dyDescent="0.35">
      <c r="A7" t="s">
        <v>17</v>
      </c>
      <c r="C7" s="29"/>
      <c r="D7" s="2">
        <f>SUM(Z17:Z22)</f>
        <v>3.1511544011544004E-2</v>
      </c>
    </row>
    <row r="8" spans="1:29" x14ac:dyDescent="0.35">
      <c r="A8" t="s">
        <v>21</v>
      </c>
      <c r="C8" s="29"/>
      <c r="D8" s="2">
        <f>SUM(AA17:AA22)</f>
        <v>-1.8200893972350109E-2</v>
      </c>
    </row>
    <row r="9" spans="1:29" x14ac:dyDescent="0.35">
      <c r="A9" t="s">
        <v>28</v>
      </c>
      <c r="C9" s="29"/>
      <c r="D9" s="2"/>
    </row>
    <row r="10" spans="1:29" x14ac:dyDescent="0.35">
      <c r="C10" s="29"/>
      <c r="D10" s="2"/>
    </row>
    <row r="11" spans="1:29" x14ac:dyDescent="0.35">
      <c r="C11" s="29"/>
      <c r="D11" s="2"/>
    </row>
    <row r="12" spans="1:29" x14ac:dyDescent="0.35">
      <c r="C12" s="1"/>
    </row>
    <row r="13" spans="1:29" x14ac:dyDescent="0.35">
      <c r="B13" s="182">
        <v>2023</v>
      </c>
      <c r="C13" s="183"/>
      <c r="D13" s="183"/>
      <c r="E13" s="183"/>
      <c r="F13" s="183"/>
      <c r="G13" s="184"/>
      <c r="J13" s="182">
        <v>2024</v>
      </c>
      <c r="K13" s="183"/>
      <c r="L13" s="183"/>
      <c r="M13" s="183"/>
      <c r="N13" s="183"/>
      <c r="O13" s="184"/>
      <c r="Q13" s="182" t="s">
        <v>3</v>
      </c>
      <c r="R13" s="183"/>
      <c r="S13" s="183"/>
      <c r="T13" s="184"/>
      <c r="U13" s="27"/>
      <c r="V13" s="188" t="s">
        <v>4</v>
      </c>
      <c r="W13" s="189"/>
      <c r="X13" s="189"/>
      <c r="Y13" s="189"/>
      <c r="Z13" s="189"/>
      <c r="AA13" s="189"/>
      <c r="AB13" s="189"/>
      <c r="AC13" s="190"/>
    </row>
    <row r="14" spans="1:29" x14ac:dyDescent="0.35">
      <c r="B14" s="182" t="s">
        <v>0</v>
      </c>
      <c r="C14" s="184"/>
      <c r="D14" s="182" t="s">
        <v>1</v>
      </c>
      <c r="E14" s="184"/>
      <c r="F14" s="182" t="s">
        <v>2</v>
      </c>
      <c r="G14" s="184"/>
      <c r="J14" s="182" t="s">
        <v>0</v>
      </c>
      <c r="K14" s="184"/>
      <c r="L14" s="182" t="s">
        <v>1</v>
      </c>
      <c r="M14" s="184"/>
      <c r="N14" s="182" t="s">
        <v>2</v>
      </c>
      <c r="O14" s="184"/>
      <c r="Q14" s="9" t="s">
        <v>0</v>
      </c>
      <c r="R14" t="s">
        <v>1</v>
      </c>
      <c r="S14" s="185" t="s">
        <v>2</v>
      </c>
      <c r="T14" s="186"/>
      <c r="V14" s="40" t="s">
        <v>1</v>
      </c>
      <c r="W14" s="187" t="s">
        <v>2</v>
      </c>
      <c r="X14" s="185"/>
      <c r="Y14" s="185"/>
      <c r="Z14" s="185"/>
      <c r="AA14" s="185"/>
      <c r="AB14" s="186"/>
      <c r="AC14" s="45" t="s">
        <v>0</v>
      </c>
    </row>
    <row r="15" spans="1:29" x14ac:dyDescent="0.35">
      <c r="B15" s="9" t="s">
        <v>12</v>
      </c>
      <c r="C15" s="10" t="s">
        <v>13</v>
      </c>
      <c r="D15" s="9" t="s">
        <v>12</v>
      </c>
      <c r="E15" s="10" t="s">
        <v>13</v>
      </c>
      <c r="F15" s="9" t="s">
        <v>12</v>
      </c>
      <c r="G15" s="10" t="s">
        <v>13</v>
      </c>
      <c r="J15" s="9" t="s">
        <v>12</v>
      </c>
      <c r="K15" s="10" t="s">
        <v>13</v>
      </c>
      <c r="L15" s="9" t="s">
        <v>12</v>
      </c>
      <c r="M15" s="10" t="s">
        <v>13</v>
      </c>
      <c r="N15" s="9" t="s">
        <v>12</v>
      </c>
      <c r="O15" s="10" t="s">
        <v>13</v>
      </c>
      <c r="Q15" s="9"/>
      <c r="T15" s="10"/>
      <c r="V15" s="39"/>
      <c r="W15" s="9"/>
      <c r="AB15" s="10"/>
      <c r="AC15" s="10"/>
    </row>
    <row r="16" spans="1:29" x14ac:dyDescent="0.35">
      <c r="A16" t="s">
        <v>5</v>
      </c>
      <c r="B16" s="9"/>
      <c r="C16" s="10"/>
      <c r="D16" s="9"/>
      <c r="E16" s="10"/>
      <c r="F16" s="9"/>
      <c r="G16" s="10"/>
      <c r="I16" t="s">
        <v>5</v>
      </c>
      <c r="J16" s="9"/>
      <c r="K16" s="10"/>
      <c r="L16" s="9"/>
      <c r="M16" s="10"/>
      <c r="N16" s="9"/>
      <c r="O16" s="10"/>
      <c r="Q16" s="9" t="s">
        <v>0</v>
      </c>
      <c r="R16" t="s">
        <v>1</v>
      </c>
      <c r="S16" t="s">
        <v>16</v>
      </c>
      <c r="T16" s="10" t="s">
        <v>15</v>
      </c>
      <c r="V16" s="38"/>
      <c r="W16" s="7" t="s">
        <v>17</v>
      </c>
      <c r="X16" s="23" t="s">
        <v>21</v>
      </c>
      <c r="Y16" s="23" t="s">
        <v>24</v>
      </c>
      <c r="Z16" s="23" t="s">
        <v>26</v>
      </c>
      <c r="AA16" s="23" t="s">
        <v>27</v>
      </c>
      <c r="AB16" s="8" t="s">
        <v>25</v>
      </c>
      <c r="AC16" s="10"/>
    </row>
    <row r="17" spans="1:29" x14ac:dyDescent="0.35">
      <c r="A17" t="s">
        <v>6</v>
      </c>
      <c r="B17" s="11">
        <v>120378.25</v>
      </c>
      <c r="C17" s="12">
        <f>B17/$B$2</f>
        <v>0.25</v>
      </c>
      <c r="D17" s="15">
        <v>9154.86</v>
      </c>
      <c r="E17" s="12">
        <f>D17/$C$2</f>
        <v>0.22</v>
      </c>
      <c r="F17" s="17">
        <f>B17/D17</f>
        <v>13.149108779380569</v>
      </c>
      <c r="G17" s="10"/>
      <c r="I17" t="s">
        <v>6</v>
      </c>
      <c r="J17" s="11">
        <v>138341.84</v>
      </c>
      <c r="K17" s="12">
        <f>J17/$B$3</f>
        <v>0.27999999999999997</v>
      </c>
      <c r="L17" s="15">
        <v>10534.5</v>
      </c>
      <c r="M17" s="12">
        <f>L17/$C$3</f>
        <v>0.25</v>
      </c>
      <c r="N17" s="17">
        <f>J17/L17</f>
        <v>13.132264464378945</v>
      </c>
      <c r="O17" s="10"/>
      <c r="Q17" s="9"/>
      <c r="R17" s="24">
        <f>L17/D17-1</f>
        <v>0.15070028378369504</v>
      </c>
      <c r="S17" s="48">
        <f>M17-E17</f>
        <v>0.03</v>
      </c>
      <c r="T17" s="30">
        <f>N17-F17</f>
        <v>-1.6844315001623755E-2</v>
      </c>
      <c r="V17" s="41">
        <f t="shared" ref="V17:V22" si="1">E17*R17</f>
        <v>3.3154062432412909E-2</v>
      </c>
      <c r="W17" s="36">
        <f t="shared" ref="W17:W22" si="2">S17*F17</f>
        <v>0.39447326338141703</v>
      </c>
      <c r="X17" s="32">
        <f t="shared" ref="X17:X22" si="3">M17*T17</f>
        <v>-4.2110787504059388E-3</v>
      </c>
      <c r="Y17" s="6">
        <f>SUM(W17:X17)</f>
        <v>0.39026218463101109</v>
      </c>
      <c r="Z17" s="24">
        <f>W17/$D$2</f>
        <v>3.4090909090909081E-2</v>
      </c>
      <c r="AA17" s="24">
        <f>X17/$D$2</f>
        <v>-3.639270799347937E-4</v>
      </c>
      <c r="AB17" s="12">
        <f>Y17/$D$2</f>
        <v>3.3726982010974287E-2</v>
      </c>
      <c r="AC17" s="43">
        <f>V17+AB17</f>
        <v>6.6881044443387189E-2</v>
      </c>
    </row>
    <row r="18" spans="1:29" x14ac:dyDescent="0.35">
      <c r="A18" t="s">
        <v>7</v>
      </c>
      <c r="B18" s="11">
        <v>120378.25</v>
      </c>
      <c r="C18" s="12">
        <f t="shared" ref="C18:C22" si="4">B18/$B$2</f>
        <v>0.25</v>
      </c>
      <c r="D18" s="15">
        <v>8322.6</v>
      </c>
      <c r="E18" s="12">
        <f t="shared" ref="E18:E22" si="5">D18/$C$2</f>
        <v>0.2</v>
      </c>
      <c r="F18" s="17">
        <f t="shared" ref="F18:F22" si="6">B18/D18</f>
        <v>14.464019657318627</v>
      </c>
      <c r="G18" s="10"/>
      <c r="I18" t="s">
        <v>7</v>
      </c>
      <c r="J18" s="11">
        <v>138341.84000000003</v>
      </c>
      <c r="K18" s="12">
        <f t="shared" ref="K18:K22" si="7">J18/$B$3</f>
        <v>0.28000000000000003</v>
      </c>
      <c r="L18" s="15">
        <v>9691.74</v>
      </c>
      <c r="M18" s="12">
        <f t="shared" ref="M18:M21" si="8">L18/$C$3</f>
        <v>0.22999999999999998</v>
      </c>
      <c r="N18" s="17">
        <f t="shared" ref="N18:N22" si="9">J18/L18</f>
        <v>14.274200504759726</v>
      </c>
      <c r="O18" s="10"/>
      <c r="Q18" s="9"/>
      <c r="R18" s="24">
        <f t="shared" ref="R18:R22" si="10">L18/D18-1</f>
        <v>0.1645086871890995</v>
      </c>
      <c r="S18" s="31">
        <f t="shared" ref="S18:S22" si="11">M18-E18</f>
        <v>2.9999999999999971E-2</v>
      </c>
      <c r="T18" s="30">
        <f t="shared" ref="T18:T22" si="12">N18-F18</f>
        <v>-0.18981915255890058</v>
      </c>
      <c r="V18" s="41">
        <f t="shared" si="1"/>
        <v>3.2901737437819899E-2</v>
      </c>
      <c r="W18" s="36">
        <f t="shared" si="2"/>
        <v>0.43392058971955838</v>
      </c>
      <c r="X18" s="32">
        <f t="shared" si="3"/>
        <v>-4.3658405088547132E-2</v>
      </c>
      <c r="Y18" s="6">
        <f t="shared" ref="Y18:Y22" si="13">SUM(W18:X18)</f>
        <v>0.39026218463101126</v>
      </c>
      <c r="Z18" s="24">
        <f t="shared" ref="Z18:Z22" si="14">W18/$D$2</f>
        <v>3.7499999999999964E-2</v>
      </c>
      <c r="AA18" s="24">
        <f t="shared" ref="AA18:AA22" si="15">X18/$D$2</f>
        <v>-3.7730179890256578E-3</v>
      </c>
      <c r="AB18" s="12">
        <f t="shared" ref="AB18:AB22" si="16">Y18/$D$2</f>
        <v>3.3726982010974307E-2</v>
      </c>
      <c r="AC18" s="43">
        <f t="shared" ref="AC18:AC22" si="17">V18+AB18</f>
        <v>6.6628719448794199E-2</v>
      </c>
    </row>
    <row r="19" spans="1:29" x14ac:dyDescent="0.35">
      <c r="A19" t="s">
        <v>8</v>
      </c>
      <c r="B19" s="11">
        <v>24075.65</v>
      </c>
      <c r="C19" s="12">
        <f t="shared" si="4"/>
        <v>0.05</v>
      </c>
      <c r="D19" s="15">
        <v>2496.7799999999997</v>
      </c>
      <c r="E19" s="12">
        <f t="shared" si="5"/>
        <v>5.9999999999999991E-2</v>
      </c>
      <c r="F19" s="17">
        <f t="shared" si="6"/>
        <v>9.6426797715457528</v>
      </c>
      <c r="G19" s="10"/>
      <c r="I19" t="s">
        <v>8</v>
      </c>
      <c r="J19" s="11">
        <v>14822.34</v>
      </c>
      <c r="K19" s="12">
        <f t="shared" si="7"/>
        <v>0.03</v>
      </c>
      <c r="L19" s="15">
        <v>1685.52</v>
      </c>
      <c r="M19" s="12">
        <f t="shared" si="8"/>
        <v>0.04</v>
      </c>
      <c r="N19" s="17">
        <f t="shared" si="9"/>
        <v>8.7939270966823297</v>
      </c>
      <c r="O19" s="10"/>
      <c r="Q19" s="9"/>
      <c r="R19" s="24">
        <f t="shared" si="10"/>
        <v>-0.32492250018023205</v>
      </c>
      <c r="S19" s="31">
        <f t="shared" si="11"/>
        <v>-1.999999999999999E-2</v>
      </c>
      <c r="T19" s="30">
        <f t="shared" si="12"/>
        <v>-0.8487526748634231</v>
      </c>
      <c r="V19" s="41">
        <f t="shared" si="1"/>
        <v>-1.9495350010813921E-2</v>
      </c>
      <c r="W19" s="36">
        <f t="shared" si="2"/>
        <v>-0.19285359543091496</v>
      </c>
      <c r="X19" s="32">
        <f t="shared" si="3"/>
        <v>-3.3950106994536926E-2</v>
      </c>
      <c r="Y19" s="6">
        <f t="shared" si="13"/>
        <v>-0.22680370242545189</v>
      </c>
      <c r="Z19" s="24">
        <f t="shared" si="14"/>
        <v>-1.6666666666666659E-2</v>
      </c>
      <c r="AA19" s="24">
        <f t="shared" si="15"/>
        <v>-2.9340138321575222E-3</v>
      </c>
      <c r="AB19" s="12">
        <f t="shared" si="16"/>
        <v>-1.9600680498824182E-2</v>
      </c>
      <c r="AC19" s="43">
        <f t="shared" si="17"/>
        <v>-3.9096030509638099E-2</v>
      </c>
    </row>
    <row r="20" spans="1:29" x14ac:dyDescent="0.35">
      <c r="A20" t="s">
        <v>9</v>
      </c>
      <c r="B20" s="11">
        <v>144453.9</v>
      </c>
      <c r="C20" s="12">
        <f t="shared" si="4"/>
        <v>0.3</v>
      </c>
      <c r="D20" s="15">
        <v>14564.55</v>
      </c>
      <c r="E20" s="12">
        <f t="shared" si="5"/>
        <v>0.35</v>
      </c>
      <c r="F20" s="17">
        <f t="shared" si="6"/>
        <v>9.918184907875629</v>
      </c>
      <c r="G20" s="10"/>
      <c r="I20" t="s">
        <v>9</v>
      </c>
      <c r="J20" s="11">
        <v>123519.5</v>
      </c>
      <c r="K20" s="12">
        <f t="shared" si="7"/>
        <v>0.25</v>
      </c>
      <c r="L20" s="15">
        <v>12641.4</v>
      </c>
      <c r="M20" s="12">
        <f t="shared" si="8"/>
        <v>0.3</v>
      </c>
      <c r="N20" s="17">
        <f t="shared" si="9"/>
        <v>9.77103010742481</v>
      </c>
      <c r="O20" s="10"/>
      <c r="Q20" s="9"/>
      <c r="R20" s="24">
        <f t="shared" si="10"/>
        <v>-0.13204321451744128</v>
      </c>
      <c r="S20" s="31">
        <f t="shared" si="11"/>
        <v>-4.9999999999999989E-2</v>
      </c>
      <c r="T20" s="30">
        <f t="shared" si="12"/>
        <v>-0.14715480045081897</v>
      </c>
      <c r="V20" s="41">
        <f t="shared" si="1"/>
        <v>-4.6215125081104445E-2</v>
      </c>
      <c r="W20" s="36">
        <f t="shared" si="2"/>
        <v>-0.49590924539378134</v>
      </c>
      <c r="X20" s="32">
        <f t="shared" si="3"/>
        <v>-4.4146440135245692E-2</v>
      </c>
      <c r="Y20" s="6">
        <f t="shared" si="13"/>
        <v>-0.54005568552902705</v>
      </c>
      <c r="Z20" s="24">
        <f t="shared" si="14"/>
        <v>-4.2857142857142844E-2</v>
      </c>
      <c r="AA20" s="24">
        <f t="shared" si="15"/>
        <v>-3.8151946330586689E-3</v>
      </c>
      <c r="AB20" s="12">
        <f t="shared" si="16"/>
        <v>-4.6672337490201513E-2</v>
      </c>
      <c r="AC20" s="43">
        <f t="shared" si="17"/>
        <v>-9.2887462571305951E-2</v>
      </c>
    </row>
    <row r="21" spans="1:29" x14ac:dyDescent="0.35">
      <c r="A21" t="s">
        <v>10</v>
      </c>
      <c r="B21" s="11">
        <v>48151.3</v>
      </c>
      <c r="C21" s="12">
        <f t="shared" si="4"/>
        <v>0.1</v>
      </c>
      <c r="D21" s="15">
        <v>3329.04</v>
      </c>
      <c r="E21" s="12">
        <f t="shared" si="5"/>
        <v>0.08</v>
      </c>
      <c r="F21" s="17">
        <f t="shared" si="6"/>
        <v>14.464019657318627</v>
      </c>
      <c r="G21" s="10"/>
      <c r="I21" t="s">
        <v>10</v>
      </c>
      <c r="J21" s="11">
        <v>74111.7</v>
      </c>
      <c r="K21" s="12">
        <f t="shared" si="7"/>
        <v>0.15</v>
      </c>
      <c r="L21" s="15">
        <v>4213.8</v>
      </c>
      <c r="M21" s="12">
        <f t="shared" si="8"/>
        <v>0.1</v>
      </c>
      <c r="N21" s="17">
        <f t="shared" si="9"/>
        <v>17.587854193364656</v>
      </c>
      <c r="O21" s="10"/>
      <c r="Q21" s="9"/>
      <c r="R21" s="24">
        <f t="shared" si="10"/>
        <v>0.2657703121620647</v>
      </c>
      <c r="S21" s="31">
        <f t="shared" si="11"/>
        <v>2.0000000000000004E-2</v>
      </c>
      <c r="T21" s="30">
        <f t="shared" si="12"/>
        <v>3.1238345360460293</v>
      </c>
      <c r="V21" s="41">
        <f t="shared" si="1"/>
        <v>2.1261624972965177E-2</v>
      </c>
      <c r="W21" s="36">
        <f t="shared" si="2"/>
        <v>0.28928039314637261</v>
      </c>
      <c r="X21" s="32">
        <f t="shared" si="3"/>
        <v>0.31238345360460296</v>
      </c>
      <c r="Y21" s="6">
        <f t="shared" si="13"/>
        <v>0.60166384675097562</v>
      </c>
      <c r="Z21" s="24">
        <f t="shared" si="14"/>
        <v>2.5000000000000005E-2</v>
      </c>
      <c r="AA21" s="24">
        <f t="shared" si="15"/>
        <v>2.6996597505879055E-2</v>
      </c>
      <c r="AB21" s="12">
        <f t="shared" si="16"/>
        <v>5.1996597505879066E-2</v>
      </c>
      <c r="AC21" s="43">
        <f t="shared" si="17"/>
        <v>7.325822247884424E-2</v>
      </c>
    </row>
    <row r="22" spans="1:29" x14ac:dyDescent="0.35">
      <c r="A22" t="s">
        <v>11</v>
      </c>
      <c r="B22" s="13">
        <v>24075.65</v>
      </c>
      <c r="C22" s="14">
        <f t="shared" si="4"/>
        <v>0.05</v>
      </c>
      <c r="D22" s="16">
        <v>3745.1699999999987</v>
      </c>
      <c r="E22" s="14">
        <f t="shared" si="5"/>
        <v>8.9999999999999969E-2</v>
      </c>
      <c r="F22" s="18">
        <f t="shared" si="6"/>
        <v>6.4284531810305028</v>
      </c>
      <c r="G22" s="19"/>
      <c r="I22" t="s">
        <v>11</v>
      </c>
      <c r="J22" s="13">
        <v>4940.78</v>
      </c>
      <c r="K22" s="14">
        <f t="shared" si="7"/>
        <v>0.01</v>
      </c>
      <c r="L22" s="16">
        <v>3371.04</v>
      </c>
      <c r="M22" s="14">
        <f>L22/$C$3</f>
        <v>0.08</v>
      </c>
      <c r="N22" s="18">
        <f t="shared" si="9"/>
        <v>1.4656545161137216</v>
      </c>
      <c r="O22" s="19"/>
      <c r="Q22" s="25"/>
      <c r="R22" s="26">
        <f t="shared" si="10"/>
        <v>-9.9896666906975851E-2</v>
      </c>
      <c r="S22" s="46">
        <f t="shared" si="11"/>
        <v>-9.9999999999999672E-3</v>
      </c>
      <c r="T22" s="47">
        <f t="shared" si="12"/>
        <v>-4.9627986649167815</v>
      </c>
      <c r="V22" s="42">
        <f t="shared" si="1"/>
        <v>-8.9907000216278236E-3</v>
      </c>
      <c r="W22" s="37">
        <f t="shared" si="2"/>
        <v>-6.4284531810304815E-2</v>
      </c>
      <c r="X22" s="35">
        <f t="shared" si="3"/>
        <v>-0.39702389319334253</v>
      </c>
      <c r="Y22" s="34">
        <f t="shared" si="13"/>
        <v>-0.46130842500364733</v>
      </c>
      <c r="Z22" s="26">
        <f t="shared" si="14"/>
        <v>-5.5555555555555384E-3</v>
      </c>
      <c r="AA22" s="26">
        <f t="shared" si="15"/>
        <v>-3.4311337944052521E-2</v>
      </c>
      <c r="AB22" s="14">
        <f t="shared" si="16"/>
        <v>-3.9866893499608057E-2</v>
      </c>
      <c r="AC22" s="44">
        <f t="shared" si="17"/>
        <v>-4.8857593521235879E-2</v>
      </c>
    </row>
    <row r="23" spans="1:29" s="20" customFormat="1" ht="19" customHeight="1" x14ac:dyDescent="0.35">
      <c r="A23" s="20" t="s">
        <v>14</v>
      </c>
      <c r="B23" s="21">
        <f>SUM(B17:B22)</f>
        <v>481513.00000000006</v>
      </c>
      <c r="C23" s="22">
        <f t="shared" ref="C23:E23" si="18">SUM(C17:C22)</f>
        <v>1</v>
      </c>
      <c r="D23" s="21">
        <f t="shared" si="18"/>
        <v>41612.999999999993</v>
      </c>
      <c r="E23" s="22">
        <f t="shared" si="18"/>
        <v>1</v>
      </c>
      <c r="J23" s="21">
        <f>SUM(J17:J22)</f>
        <v>494078.00000000012</v>
      </c>
      <c r="K23" s="22">
        <f t="shared" ref="K23" si="19">SUM(K17:K22)</f>
        <v>1</v>
      </c>
      <c r="L23" s="21">
        <f>SUM(L17:L22)</f>
        <v>42138</v>
      </c>
      <c r="M23" s="22">
        <f t="shared" ref="M23" si="20">SUM(M17:M22)</f>
        <v>1</v>
      </c>
      <c r="V23" s="28">
        <f>SUM(V17:V22)</f>
        <v>1.2616249729651788E-2</v>
      </c>
      <c r="Y23" s="33">
        <f>SUM(Y17:Y22)</f>
        <v>0.15402040305487164</v>
      </c>
      <c r="Z23" s="33"/>
      <c r="AA23" s="33"/>
      <c r="AB23" s="28">
        <f>SUM(AB17:AB22)</f>
        <v>1.3310650039193898E-2</v>
      </c>
      <c r="AC23" s="28">
        <f>SUM(AC17:AC22)</f>
        <v>2.5926899768845699E-2</v>
      </c>
    </row>
    <row r="25" spans="1:29" x14ac:dyDescent="0.35">
      <c r="W25" t="s">
        <v>19</v>
      </c>
      <c r="X25" t="s">
        <v>18</v>
      </c>
    </row>
    <row r="26" spans="1:29" x14ac:dyDescent="0.35">
      <c r="X26" t="s">
        <v>20</v>
      </c>
    </row>
    <row r="27" spans="1:29" x14ac:dyDescent="0.35">
      <c r="W27" t="s">
        <v>21</v>
      </c>
      <c r="X27" t="s">
        <v>22</v>
      </c>
    </row>
    <row r="28" spans="1:29" x14ac:dyDescent="0.35">
      <c r="X28" t="s">
        <v>23</v>
      </c>
    </row>
  </sheetData>
  <mergeCells count="12">
    <mergeCell ref="Q13:T13"/>
    <mergeCell ref="S14:T14"/>
    <mergeCell ref="W14:AB14"/>
    <mergeCell ref="V13:AC13"/>
    <mergeCell ref="B14:C14"/>
    <mergeCell ref="D14:E14"/>
    <mergeCell ref="F14:G14"/>
    <mergeCell ref="B13:G13"/>
    <mergeCell ref="J13:O13"/>
    <mergeCell ref="J14:K14"/>
    <mergeCell ref="L14:M14"/>
    <mergeCell ref="N14:O14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4B3C-52CA-4F9C-9A8B-0D6834931293}">
  <dimension ref="A2:I45"/>
  <sheetViews>
    <sheetView workbookViewId="0">
      <selection activeCell="E10" sqref="E10"/>
    </sheetView>
  </sheetViews>
  <sheetFormatPr defaultRowHeight="14.5" x14ac:dyDescent="0.35"/>
  <cols>
    <col min="1" max="3" width="8.7265625" style="111"/>
    <col min="4" max="4" width="7.36328125" style="111" customWidth="1"/>
    <col min="5" max="5" width="16.08984375" style="111" customWidth="1"/>
    <col min="6" max="6" width="14.08984375" style="111" customWidth="1"/>
    <col min="7" max="7" width="8.7265625" style="111"/>
    <col min="8" max="8" width="10.1796875" style="111" customWidth="1"/>
    <col min="9" max="9" width="9.7265625" style="111" customWidth="1"/>
    <col min="10" max="16384" width="8.7265625" style="111"/>
  </cols>
  <sheetData>
    <row r="2" spans="1:9" x14ac:dyDescent="0.35">
      <c r="H2" s="111" t="s">
        <v>85</v>
      </c>
      <c r="I2" s="111" t="s">
        <v>86</v>
      </c>
    </row>
    <row r="3" spans="1:9" ht="19.5" x14ac:dyDescent="0.45">
      <c r="C3" s="112" t="s">
        <v>1</v>
      </c>
      <c r="E3" s="114" t="s">
        <v>57</v>
      </c>
      <c r="F3" s="111" t="s">
        <v>6</v>
      </c>
      <c r="G3" s="118" t="s">
        <v>56</v>
      </c>
      <c r="H3" s="116">
        <v>5.5E-2</v>
      </c>
      <c r="I3" s="117">
        <v>0.224</v>
      </c>
    </row>
    <row r="4" spans="1:9" ht="19.5" x14ac:dyDescent="0.45">
      <c r="C4" s="113" t="s">
        <v>56</v>
      </c>
      <c r="E4" s="112"/>
      <c r="F4" s="111" t="s">
        <v>7</v>
      </c>
      <c r="G4" s="114" t="s">
        <v>72</v>
      </c>
      <c r="H4" s="116">
        <v>0.20699999999999999</v>
      </c>
      <c r="I4" s="116">
        <v>-1E-3</v>
      </c>
    </row>
    <row r="5" spans="1:9" ht="19.5" x14ac:dyDescent="0.45">
      <c r="E5" s="112"/>
      <c r="F5" s="111" t="s">
        <v>8</v>
      </c>
      <c r="G5" s="115" t="s">
        <v>73</v>
      </c>
      <c r="H5" s="116">
        <v>0.22</v>
      </c>
      <c r="I5" s="116">
        <v>-4.0000000000000001E-3</v>
      </c>
    </row>
    <row r="6" spans="1:9" ht="19.5" x14ac:dyDescent="0.45">
      <c r="E6" s="112"/>
      <c r="F6" s="111" t="s">
        <v>9</v>
      </c>
      <c r="G6" s="114" t="s">
        <v>72</v>
      </c>
      <c r="H6" s="116">
        <v>0.25600000000000001</v>
      </c>
      <c r="I6" s="116">
        <v>-2E-3</v>
      </c>
    </row>
    <row r="7" spans="1:9" x14ac:dyDescent="0.35">
      <c r="F7" s="111" t="s">
        <v>10</v>
      </c>
      <c r="G7" s="114" t="s">
        <v>72</v>
      </c>
      <c r="H7" s="116">
        <v>0.17899999999999999</v>
      </c>
      <c r="I7" s="116">
        <v>-1E-3</v>
      </c>
    </row>
    <row r="8" spans="1:9" x14ac:dyDescent="0.35">
      <c r="F8" s="111" t="s">
        <v>11</v>
      </c>
      <c r="G8" s="114" t="s">
        <v>74</v>
      </c>
      <c r="H8" s="116">
        <v>8.4000000000000005E-2</v>
      </c>
      <c r="I8" s="116">
        <v>2.7E-2</v>
      </c>
    </row>
    <row r="10" spans="1:9" x14ac:dyDescent="0.35">
      <c r="E10" s="114" t="s">
        <v>58</v>
      </c>
      <c r="F10" s="111" t="s">
        <v>60</v>
      </c>
      <c r="G10" s="114" t="s">
        <v>79</v>
      </c>
    </row>
    <row r="11" spans="1:9" ht="15.5" customHeight="1" x14ac:dyDescent="0.35">
      <c r="F11" s="111" t="s">
        <v>61</v>
      </c>
      <c r="G11" s="114" t="s">
        <v>80</v>
      </c>
    </row>
    <row r="12" spans="1:9" x14ac:dyDescent="0.35">
      <c r="F12" s="111" t="s">
        <v>62</v>
      </c>
      <c r="G12" s="115" t="s">
        <v>81</v>
      </c>
    </row>
    <row r="13" spans="1:9" ht="19.5" x14ac:dyDescent="0.45">
      <c r="A13" s="112" t="s">
        <v>44</v>
      </c>
      <c r="F13" s="111" t="s">
        <v>63</v>
      </c>
      <c r="G13" s="115" t="s">
        <v>81</v>
      </c>
    </row>
    <row r="14" spans="1:9" ht="19.5" x14ac:dyDescent="0.45">
      <c r="A14" s="113">
        <v>2.6100000000000002E-2</v>
      </c>
      <c r="F14" s="111" t="s">
        <v>64</v>
      </c>
      <c r="G14" s="114" t="s">
        <v>82</v>
      </c>
    </row>
    <row r="15" spans="1:9" x14ac:dyDescent="0.35">
      <c r="F15" s="111" t="s">
        <v>65</v>
      </c>
      <c r="G15" s="115" t="s">
        <v>83</v>
      </c>
    </row>
    <row r="16" spans="1:9" x14ac:dyDescent="0.35">
      <c r="A16" s="111" t="s">
        <v>55</v>
      </c>
      <c r="F16" s="111" t="s">
        <v>66</v>
      </c>
      <c r="G16" s="115" t="s">
        <v>84</v>
      </c>
    </row>
    <row r="18" spans="3:7" x14ac:dyDescent="0.35">
      <c r="E18" s="114" t="s">
        <v>59</v>
      </c>
      <c r="F18" s="111" t="s">
        <v>67</v>
      </c>
      <c r="G18" s="115" t="s">
        <v>75</v>
      </c>
    </row>
    <row r="19" spans="3:7" x14ac:dyDescent="0.35">
      <c r="F19" s="111" t="s">
        <v>68</v>
      </c>
      <c r="G19" s="114" t="s">
        <v>76</v>
      </c>
    </row>
    <row r="20" spans="3:7" x14ac:dyDescent="0.35">
      <c r="F20" s="111" t="s">
        <v>69</v>
      </c>
      <c r="G20" s="115" t="s">
        <v>78</v>
      </c>
    </row>
    <row r="21" spans="3:7" x14ac:dyDescent="0.35">
      <c r="F21" s="111" t="s">
        <v>70</v>
      </c>
      <c r="G21" s="115" t="s">
        <v>78</v>
      </c>
    </row>
    <row r="22" spans="3:7" x14ac:dyDescent="0.35">
      <c r="F22" s="111" t="s">
        <v>71</v>
      </c>
      <c r="G22" s="114" t="s">
        <v>77</v>
      </c>
    </row>
    <row r="25" spans="3:7" ht="19.5" x14ac:dyDescent="0.45">
      <c r="C25" s="112" t="s">
        <v>2</v>
      </c>
      <c r="E25" s="114" t="s">
        <v>57</v>
      </c>
      <c r="F25" s="111" t="s">
        <v>6</v>
      </c>
    </row>
    <row r="26" spans="3:7" ht="19.5" x14ac:dyDescent="0.45">
      <c r="C26" s="113" t="s">
        <v>56</v>
      </c>
      <c r="F26" s="111" t="s">
        <v>7</v>
      </c>
    </row>
    <row r="27" spans="3:7" x14ac:dyDescent="0.35">
      <c r="F27" s="111" t="s">
        <v>8</v>
      </c>
    </row>
    <row r="28" spans="3:7" x14ac:dyDescent="0.35">
      <c r="F28" s="111" t="s">
        <v>9</v>
      </c>
    </row>
    <row r="29" spans="3:7" x14ac:dyDescent="0.35">
      <c r="F29" s="111" t="s">
        <v>10</v>
      </c>
    </row>
    <row r="30" spans="3:7" x14ac:dyDescent="0.35">
      <c r="F30" s="111" t="s">
        <v>11</v>
      </c>
    </row>
    <row r="32" spans="3:7" x14ac:dyDescent="0.35">
      <c r="E32" s="114" t="s">
        <v>58</v>
      </c>
      <c r="F32" s="111" t="s">
        <v>60</v>
      </c>
    </row>
    <row r="33" spans="5:6" x14ac:dyDescent="0.35">
      <c r="F33" s="111" t="s">
        <v>61</v>
      </c>
    </row>
    <row r="34" spans="5:6" x14ac:dyDescent="0.35">
      <c r="F34" s="111" t="s">
        <v>62</v>
      </c>
    </row>
    <row r="35" spans="5:6" x14ac:dyDescent="0.35">
      <c r="F35" s="111" t="s">
        <v>63</v>
      </c>
    </row>
    <row r="36" spans="5:6" x14ac:dyDescent="0.35">
      <c r="F36" s="111" t="s">
        <v>64</v>
      </c>
    </row>
    <row r="37" spans="5:6" x14ac:dyDescent="0.35">
      <c r="F37" s="111" t="s">
        <v>65</v>
      </c>
    </row>
    <row r="38" spans="5:6" x14ac:dyDescent="0.35">
      <c r="F38" s="111" t="s">
        <v>66</v>
      </c>
    </row>
    <row r="41" spans="5:6" x14ac:dyDescent="0.35">
      <c r="E41" s="114" t="s">
        <v>59</v>
      </c>
      <c r="F41" s="111" t="s">
        <v>67</v>
      </c>
    </row>
    <row r="42" spans="5:6" x14ac:dyDescent="0.35">
      <c r="F42" s="111" t="s">
        <v>68</v>
      </c>
    </row>
    <row r="43" spans="5:6" x14ac:dyDescent="0.35">
      <c r="F43" s="111" t="s">
        <v>69</v>
      </c>
    </row>
    <row r="44" spans="5:6" x14ac:dyDescent="0.35">
      <c r="F44" s="111" t="s">
        <v>70</v>
      </c>
    </row>
    <row r="45" spans="5:6" x14ac:dyDescent="0.35">
      <c r="F45" s="1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(3)</vt:lpstr>
      <vt:lpstr>Sheet2</vt:lpstr>
      <vt:lpstr>Sheet1 (2)</vt:lpstr>
      <vt:lpstr>Sheet1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Qian</dc:creator>
  <cp:lastModifiedBy>Cheng Qian</cp:lastModifiedBy>
  <dcterms:created xsi:type="dcterms:W3CDTF">2026-01-07T23:12:35Z</dcterms:created>
  <dcterms:modified xsi:type="dcterms:W3CDTF">2026-01-11T05:06:56Z</dcterms:modified>
</cp:coreProperties>
</file>