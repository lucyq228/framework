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a6c7f799ca4a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VM example" sheetId="1" r:id="R19c5b66d4b1145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.0;[Red](#,##0.0);0"/>
    <x:numFmt numFmtId="201" formatCode="#,##0;[Red](#,##0);0"/>
    <x:numFmt numFmtId="202" formatCode="0.00"/>
    <x:numFmt numFmtId="203" formatCode="0.000"/>
    <x:numFmt numFmtId="204" formatCode="0%"/>
    <x:numFmt numFmtId="205" formatCode="0.0%"/>
  </x:numFmts>
  <x:fonts count="7">
    <x:font>
      <x:sz val="11"/>
      <x:name val="Carlito"/>
    </x:font>
    <x:font>
      <x:sz val="11"/>
      <x:color rgb="FF263448"/>
      <x:name val="Arial"/>
    </x:font>
    <x:font>
      <x:b/>
      <x:sz val="17"/>
      <x:color rgb="FF172C48"/>
      <x:name val="Arial"/>
    </x:font>
    <x:font>
      <x:sz val="11"/>
      <x:color rgb="FF536277"/>
      <x:name val="Arial"/>
    </x:font>
    <x:font>
      <x:b/>
      <x:sz val="11"/>
      <x:color rgb="FF263448"/>
      <x:name val="Arial"/>
    </x:font>
    <x:font>
      <x:b/>
      <x:sz val="11"/>
      <x:color rgb="FFFFFFFF"/>
      <x:name val="Arial"/>
    </x:font>
    <x:font>
      <x:sz val="11"/>
      <x:color rgb="FF245EA8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E6EDF5"/>
      </x:patternFill>
    </x:fill>
    <x:fill>
      <x:patternFill patternType="solid">
        <x:fgColor rgb="FF243C59"/>
      </x:patternFill>
    </x:fill>
    <x:fill>
      <x:patternFill patternType="solid">
        <x:fgColor rgb="FFFFF2CA"/>
      </x:patternFill>
    </x:fill>
    <x:fill>
      <x:patternFill patternType="solid">
        <x:fgColor rgb="FFEDF2F7"/>
      </x:patternFill>
    </x:fill>
    <x:fill>
      <x:patternFill patternType="solid">
        <x:fgColor rgb="FFE2F0E5"/>
      </x:patternFill>
    </x:fill>
    <x:fill>
      <x:patternFill patternType="solid">
        <x:fgColor rgb="FFE5EFFB"/>
      </x:patternFill>
    </x:fill>
    <x:fill>
      <x:patternFill patternType="solid">
        <x:fgColor rgb="FFFCEAD7"/>
      </x:patternFill>
    </x:fill>
    <x:fill>
      <x:patternFill patternType="solid">
        <x:fgColor rgb="FFEFEAF4"/>
      </x:patternFill>
    </x:fill>
  </x:fills>
  <x:borders count="1">
    <x:border/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200" fontId="1" fillId="4" borderId="0" xfId="0" applyNumberFormat="1" applyFont="1" applyFill="1" applyBorder="1" applyAlignment="1">
      <x:alignment vertical="center"/>
    </x:xf>
    <x:xf numFmtId="200" fontId="6" fillId="4" borderId="0" xfId="0" applyNumberFormat="1" applyFont="1" applyFill="1" applyBorder="1" applyAlignment="1">
      <x:alignment vertical="center"/>
    </x:xf>
    <x:xf numFmtId="201" fontId="6" fillId="4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4" fillId="2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 wrapText="1"/>
    </x:xf>
    <x:xf numFmtId="200" fontId="5" fillId="3" borderId="0" xfId="0" applyNumberFormat="1" applyFont="1" applyFill="1" applyBorder="1" applyAlignment="1">
      <x:alignment horizontal="center" vertical="center" wrapText="1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2" fontId="6" fillId="4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200" fontId="1" fillId="6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/>
    </x:xf>
    <x:xf numFmtId="200" fontId="1" fillId="7" borderId="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vertical="center"/>
    </x:xf>
    <x:xf numFmtId="200" fontId="1" fillId="8" borderId="0" xfId="0" applyNumberFormat="1" applyFont="1" applyFill="1" applyBorder="1" applyAlignment="1">
      <x:alignment vertical="center"/>
    </x:xf>
    <x:xf numFmtId="0" fontId="1" fillId="9" borderId="0" xfId="0" applyNumberFormat="1" applyFont="1" applyFill="1" applyBorder="1" applyAlignment="1">
      <x:alignment vertical="center"/>
    </x:xf>
    <x:xf numFmtId="200" fontId="1" fillId="9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b2dadc31704c4b" /><Relationship Type="http://schemas.openxmlformats.org/officeDocument/2006/relationships/theme" Target="/xl/theme/theme1.xml" Id="Rf1202269d33e4f26" /><Relationship Type="http://schemas.openxmlformats.org/officeDocument/2006/relationships/sharedStrings" Target="/xl/sharedStrings.xml" Id="R18c035c461cd4560" /><Relationship Type="http://schemas.openxmlformats.org/officeDocument/2006/relationships/worksheet" Target="/xl/worksheets/sheet1.xml" Id="R19c5b66d4b1145a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f2bdae9aa7f48b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Reference week to reporting week (GC)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grouping val="stacked"/>
        <c:varyColors val="0"/>
        <c:ser>
          <c:idx val="0"/>
          <c:order val="0"/>
          <c:tx>
            <c:v>Invisible base</c:v>
          </c:tx>
          <c:spPr>
            <a:solidFill xmlns:a="http://schemas.openxmlformats.org/drawingml/2006/main">
              <a:srgbClr val="FFFFFF"/>
            </a:solidFill>
          </c:spPr>
          <c:cat>
            <c:strRef>
              <c:f>'MVM example'!$A$72:$A$79</c:f>
              <c:strCache>
                <c:ptCount val="0"/>
              </c:strCache>
            </c:strRef>
          </c:cat>
          <c:val>
            <c:numRef>
              <c:f>'MVM example'!$B$72:$B$79</c:f>
              <c:numCache>
                <c:formatCode>#,##0.0;[Red](#,##0.0);0</c:formatCode>
                <c:ptCount val="0"/>
              </c:numCache>
            </c:numRef>
          </c:val>
        </c:ser>
        <c:ser>
          <c:idx val="1"/>
          <c:order val="1"/>
          <c:tx>
            <c:v>Total</c:v>
          </c:tx>
          <c:spPr>
            <a:solidFill xmlns:a="http://schemas.openxmlformats.org/drawingml/2006/main">
              <a:srgbClr val="243C59"/>
            </a:solidFill>
          </c:spPr>
          <c:cat>
            <c:strRef>
              <c:f>'MVM example'!$A$72:$A$79</c:f>
              <c:strCache>
                <c:ptCount val="0"/>
              </c:strCache>
            </c:strRef>
          </c:cat>
          <c:val>
            <c:numRef>
              <c:f>'MVM example'!$C$72:$C$79</c:f>
              <c:numCache>
                <c:formatCode>#,##0.0;[Red](#,##0.0);0</c:formatCode>
                <c:ptCount val="0"/>
              </c:numCache>
            </c:numRef>
          </c:val>
        </c:ser>
        <c:ser>
          <c:idx val="2"/>
          <c:order val="2"/>
          <c:tx>
            <c:v>Reset</c:v>
          </c:tx>
          <c:spPr>
            <a:solidFill xmlns:a="http://schemas.openxmlformats.org/drawingml/2006/main">
              <a:srgbClr val="B2BAC5"/>
            </a:solidFill>
          </c:spPr>
          <c:cat>
            <c:strRef>
              <c:f>'MVM example'!$A$72:$A$79</c:f>
              <c:strCache>
                <c:ptCount val="0"/>
              </c:strCache>
            </c:strRef>
          </c:cat>
          <c:val>
            <c:numRef>
              <c:f>'MVM example'!$D$72:$D$79</c:f>
              <c:numCache>
                <c:formatCode>#,##0.0;[Red](#,##0.0);0</c:formatCode>
                <c:ptCount val="0"/>
              </c:numCache>
            </c:numRef>
          </c:val>
        </c:ser>
        <c:ser>
          <c:idx val="3"/>
          <c:order val="3"/>
          <c:tx>
            <c:v>Foundation</c:v>
          </c:tx>
          <c:spPr>
            <a:solidFill xmlns:a="http://schemas.openxmlformats.org/drawingml/2006/main">
              <a:srgbClr val="4D9163"/>
            </a:solidFill>
          </c:spPr>
          <c:cat>
            <c:strRef>
              <c:f>'MVM example'!$A$72:$A$79</c:f>
              <c:strCache>
                <c:ptCount val="0"/>
              </c:strCache>
            </c:strRef>
          </c:cat>
          <c:val>
            <c:numRef>
              <c:f>'MVM example'!$E$72:$E$79</c:f>
              <c:numCache>
                <c:formatCode>#,##0.0;[Red](#,##0.0);0</c:formatCode>
                <c:ptCount val="0"/>
              </c:numCache>
            </c:numRef>
          </c:val>
        </c:ser>
        <c:ser>
          <c:idx val="4"/>
          <c:order val="4"/>
          <c:tx>
            <c:v>External</c:v>
          </c:tx>
          <c:spPr>
            <a:solidFill xmlns:a="http://schemas.openxmlformats.org/drawingml/2006/main">
              <a:srgbClr val="4A86BD"/>
            </a:solidFill>
          </c:spPr>
          <c:cat>
            <c:strRef>
              <c:f>'MVM example'!$A$72:$A$79</c:f>
              <c:strCache>
                <c:ptCount val="0"/>
              </c:strCache>
            </c:strRef>
          </c:cat>
          <c:val>
            <c:numRef>
              <c:f>'MVM example'!$F$72:$F$79</c:f>
              <c:numCache>
                <c:formatCode>#,##0.0;[Red](#,##0.0);0</c:formatCode>
                <c:ptCount val="0"/>
              </c:numCache>
            </c:numRef>
          </c:val>
        </c:ser>
        <c:ser>
          <c:idx val="5"/>
          <c:order val="5"/>
          <c:tx>
            <c:v>Momentum</c:v>
          </c:tx>
          <c:spPr>
            <a:solidFill xmlns:a="http://schemas.openxmlformats.org/drawingml/2006/main">
              <a:srgbClr val="DD9440"/>
            </a:solidFill>
          </c:spPr>
          <c:cat>
            <c:strRef>
              <c:f>'MVM example'!$A$72:$A$79</c:f>
              <c:strCache>
                <c:ptCount val="0"/>
              </c:strCache>
            </c:strRef>
          </c:cat>
          <c:val>
            <c:numRef>
              <c:f>'MVM example'!$G$72:$G$79</c:f>
              <c:numCache>
                <c:formatCode>#,##0.0;[Red](#,##0.0);0</c:formatCode>
                <c:ptCount val="0"/>
              </c:numCache>
            </c:numRef>
          </c:val>
        </c:ser>
        <c:ser>
          <c:idx val="6"/>
          <c:order val="6"/>
          <c:tx>
            <c:v>Residual</c:v>
          </c:tx>
          <c:spPr>
            <a:solidFill xmlns:a="http://schemas.openxmlformats.org/drawingml/2006/main">
              <a:srgbClr val="9B82B1"/>
            </a:solidFill>
          </c:spPr>
          <c:cat>
            <c:strRef>
              <c:f>'MVM example'!$A$72:$A$79</c:f>
              <c:strCache>
                <c:ptCount val="0"/>
              </c:strCache>
            </c:strRef>
          </c:cat>
          <c:val>
            <c:numRef>
              <c:f>'MVM example'!$H$72:$H$79</c:f>
              <c:numCache>
                <c:formatCode>#,##0.0;[Red](#,##0.0);0</c:formatCode>
                <c:ptCount val="0"/>
              </c:numCache>
            </c:numRef>
          </c:val>
        </c:ser>
        <c:gapWidth val="70"/>
        <c:overlap val="10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47</xdr:row>
      <xdr:rowOff>0</xdr:rowOff>
    </xdr:from>
    <xdr:to>
      <xdr:col>12</xdr:col>
      <xdr:colOff>0</xdr:colOff>
      <xdr:row>59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f2bdae9aa7f48b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ec4aea4ae704ca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670000076293945" hidden="0" customWidth="1"/>
    <x:col min="2" max="2" width="13.890000343322754" hidden="0" customWidth="1"/>
    <x:col min="3" max="3" width="13.329999923706055" hidden="0" customWidth="1"/>
    <x:col min="4" max="4" width="13.890000343322754" hidden="0" customWidth="1"/>
    <x:col min="5" max="5" width="13.890000343322754" hidden="0" customWidth="1"/>
    <x:col min="6" max="6" width="13.890000343322754" hidden="0" customWidth="1"/>
    <x:col min="7" max="7" width="14.4399995803833" hidden="0" customWidth="1"/>
    <x:col min="8" max="8" width="13.329999923706055" hidden="0" customWidth="1"/>
    <x:col min="9" max="9" width="13.329999923706055" hidden="0" customWidth="1"/>
    <x:col min="10" max="10" width="12.779999732971191" hidden="0" customWidth="1"/>
    <x:col min="11" max="11" width="13.329999923706055" hidden="0" customWidth="1"/>
    <x:col min="12" max="12" width="14.4399995803833" hidden="0" customWidth="1"/>
  </x:cols>
  <x:sheetData>
    <x:row r="1" ht="26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6" customHeight="1">
      <x:c r="A2" s="4" t="str">
        <x:v>MVM from raw weekly data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6" customHeight="1">
      <x:c r="A3" s="5" t="str">
        <x:v>One restaurant. Eight training weeks, one reference week, one reporting week. All observations are synthetic. Amber cells contain raw inputs.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</x:row>
    <x:row r="4" ht="26" customHeight="1">
      <x:c r="A4" s="5" t="str">
        <x:v>Read top to bottom: raw records, estimated effects, prior update, scenario predictions, waterfall. GC = guest counts; campaign spend is incremental to BAU.</x:v>
      </x:c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</x:row>
    <x:row r="5" ht="26" customHeight="1">
      <x:c r="A5" s="7" t="str">
        <x:v>1. Start with the actual weekly rows for Restaurant R01</x:v>
      </x:c>
      <x:c r="B5" s="7"/>
      <x:c r="C5" s="7"/>
      <x:c r="D5" s="7"/>
      <x:c r="E5" s="7"/>
      <x:c r="F5" s="7"/>
      <x:c r="G5" s="7"/>
      <x:c r="H5" s="7"/>
      <x:c r="I5" s="7"/>
      <x:c r="J5" s="7"/>
      <x:c r="K5" s="7"/>
      <x:c r="L5" s="7"/>
    </x:row>
    <x:row r="6" ht="42" customHeight="1">
      <x:c r="A6" s="11" t="str">
        <x:v>Week</x:v>
      </x:c>
      <x:c r="B6" s="11" t="str">
        <x:v>Use</x:v>
      </x:c>
      <x:c r="C6" s="11" t="str">
        <x:v>Actual GC</x:v>
      </x:c>
      <x:c r="D6" s="11" t="str">
        <x:v>Service seconds</x:v>
      </x:c>
      <x:c r="E6" s="11" t="str">
        <x:v>Demand index</x:v>
      </x:c>
      <x:c r="F6" s="11" t="str">
        <x:v>Campaign $k</x:v>
      </x:c>
      <x:c r="G6" s="11" t="str">
        <x:v>Hours open</x:v>
      </x:c>
      <x:c r="H6" s="11" t="str">
        <x:v>Service units</x:v>
      </x:c>
      <x:c r="I6" s="11" t="str">
        <x:v>Demand units</x:v>
      </x:c>
      <x:c r="J6" s="11" t="str">
        <x:v>OLS fitted GC</x:v>
      </x:c>
      <x:c r="K6" s="11" t="str">
        <x:v>Squared error</x:v>
      </x:c>
      <x:c r="L6" s="11" t="str">
        <x:v>Spend centered²</x:v>
      </x:c>
    </x:row>
    <x:row r="7" ht="26" customHeight="1">
      <x:c r="A7" s="2" t="str">
        <x:v>Week 1</x:v>
      </x:c>
      <x:c r="B7" s="3" t="str">
        <x:v>Training</x:v>
      </x:c>
      <x:c r="C7" s="14" t="n">
        <x:v>805</x:v>
      </x:c>
      <x:c r="D7" s="14" t="n">
        <x:v>180</x:v>
      </x:c>
      <x:c r="E7" s="14" t="n">
        <x:v>100</x:v>
      </x:c>
      <x:c r="F7" s="14" t="n">
        <x:v>0</x:v>
      </x:c>
      <x:c r="G7" s="15" t="str">
        <x:v>Missing</x:v>
      </x:c>
      <x:c r="H7" s="15" t="n">
        <x:f>($B$18-D7)/($B$18-$D$18)</x:f>
        <x:v>0</x:v>
      </x:c>
      <x:c r="I7" s="15" t="n">
        <x:f>$F$18-E7</x:f>
        <x:v>0</x:v>
      </x:c>
      <x:c r="J7" s="15" t="n">
        <x:f>$C$25+$D$22*H7+$D$23*I7+$D$24*F7</x:f>
        <x:v>795</x:v>
      </x:c>
      <x:c r="K7" s="15" t="n">
        <x:f>(C7-J7)^2</x:f>
        <x:v>100</x:v>
      </x:c>
      <x:c r="L7" s="16" t="n">
        <x:f>(F7-AVERAGE($F$7:$F$14))^2</x:f>
        <x:v>0.25</x:v>
      </x:c>
    </x:row>
    <x:row r="8" ht="26" customHeight="1">
      <x:c r="A8" s="2" t="str">
        <x:v>Week 2</x:v>
      </x:c>
      <x:c r="B8" s="3" t="str">
        <x:v>Training</x:v>
      </x:c>
      <x:c r="C8" s="14" t="n">
        <x:v>845</x:v>
      </x:c>
      <x:c r="D8" s="14" t="n">
        <x:v>180</x:v>
      </x:c>
      <x:c r="E8" s="14" t="n">
        <x:v>100</x:v>
      </x:c>
      <x:c r="F8" s="14" t="n">
        <x:v>1</x:v>
      </x:c>
      <x:c r="G8" s="15" t="str">
        <x:v>Missing</x:v>
      </x:c>
      <x:c r="H8" s="15" t="n">
        <x:f>($B$18-D8)/($B$18-$D$18)</x:f>
        <x:v>0</x:v>
      </x:c>
      <x:c r="I8" s="15" t="n">
        <x:f>$F$18-E8</x:f>
        <x:v>0</x:v>
      </x:c>
      <x:c r="J8" s="15" t="n">
        <x:f>$C$25+$D$22*H8+$D$23*I8+$D$24*F8</x:f>
        <x:v>835</x:v>
      </x:c>
      <x:c r="K8" s="15" t="n">
        <x:f>(C8-J8)^2</x:f>
        <x:v>100</x:v>
      </x:c>
      <x:c r="L8" s="16" t="n">
        <x:f>(F8-AVERAGE($F$7:$F$14))^2</x:f>
        <x:v>0.25</x:v>
      </x:c>
    </x:row>
    <x:row r="9" ht="26" customHeight="1">
      <x:c r="A9" s="2" t="str">
        <x:v>Week 3</x:v>
      </x:c>
      <x:c r="B9" s="3" t="str">
        <x:v>Training</x:v>
      </x:c>
      <x:c r="C9" s="14" t="n">
        <x:v>765</x:v>
      </x:c>
      <x:c r="D9" s="14" t="n">
        <x:v>180</x:v>
      </x:c>
      <x:c r="E9" s="14" t="n">
        <x:v>99</x:v>
      </x:c>
      <x:c r="F9" s="14" t="n">
        <x:v>0</x:v>
      </x:c>
      <x:c r="G9" s="15" t="str">
        <x:v>Missing</x:v>
      </x:c>
      <x:c r="H9" s="15" t="n">
        <x:f>($B$18-D9)/($B$18-$D$18)</x:f>
        <x:v>0</x:v>
      </x:c>
      <x:c r="I9" s="15" t="n">
        <x:f>$F$18-E9</x:f>
        <x:v>1</x:v>
      </x:c>
      <x:c r="J9" s="15" t="n">
        <x:f>$C$25+$D$22*H9+$D$23*I9+$D$24*F9</x:f>
        <x:v>775</x:v>
      </x:c>
      <x:c r="K9" s="15" t="n">
        <x:f>(C9-J9)^2</x:f>
        <x:v>100</x:v>
      </x:c>
      <x:c r="L9" s="16" t="n">
        <x:f>(F9-AVERAGE($F$7:$F$14))^2</x:f>
        <x:v>0.25</x:v>
      </x:c>
    </x:row>
    <x:row r="10" ht="26" customHeight="1">
      <x:c r="A10" s="2" t="str">
        <x:v>Week 4</x:v>
      </x:c>
      <x:c r="B10" s="3" t="str">
        <x:v>Training</x:v>
      </x:c>
      <x:c r="C10" s="14" t="n">
        <x:v>805</x:v>
      </x:c>
      <x:c r="D10" s="14" t="n">
        <x:v>180</x:v>
      </x:c>
      <x:c r="E10" s="14" t="n">
        <x:v>99</x:v>
      </x:c>
      <x:c r="F10" s="14" t="n">
        <x:v>1</x:v>
      </x:c>
      <x:c r="G10" s="15" t="str">
        <x:v>Missing</x:v>
      </x:c>
      <x:c r="H10" s="15" t="n">
        <x:f>($B$18-D10)/($B$18-$D$18)</x:f>
        <x:v>0</x:v>
      </x:c>
      <x:c r="I10" s="15" t="n">
        <x:f>$F$18-E10</x:f>
        <x:v>1</x:v>
      </x:c>
      <x:c r="J10" s="15" t="n">
        <x:f>$C$25+$D$22*H10+$D$23*I10+$D$24*F10</x:f>
        <x:v>815</x:v>
      </x:c>
      <x:c r="K10" s="15" t="n">
        <x:f>(C10-J10)^2</x:f>
        <x:v>100</x:v>
      </x:c>
      <x:c r="L10" s="16" t="n">
        <x:f>(F10-AVERAGE($F$7:$F$14))^2</x:f>
        <x:v>0.25</x:v>
      </x:c>
    </x:row>
    <x:row r="11" ht="26" customHeight="1">
      <x:c r="A11" s="2" t="str">
        <x:v>Week 5</x:v>
      </x:c>
      <x:c r="B11" s="3" t="str">
        <x:v>Training</x:v>
      </x:c>
      <x:c r="C11" s="14" t="n">
        <x:v>885</x:v>
      </x:c>
      <x:c r="D11" s="14" t="n">
        <x:v>120</x:v>
      </x:c>
      <x:c r="E11" s="14" t="n">
        <x:v>100</x:v>
      </x:c>
      <x:c r="F11" s="14" t="n">
        <x:v>0</x:v>
      </x:c>
      <x:c r="G11" s="15" t="str">
        <x:v>Missing</x:v>
      </x:c>
      <x:c r="H11" s="15" t="n">
        <x:f>($B$18-D11)/($B$18-$D$18)</x:f>
        <x:v>1</x:v>
      </x:c>
      <x:c r="I11" s="15" t="n">
        <x:f>$F$18-E11</x:f>
        <x:v>0</x:v>
      </x:c>
      <x:c r="J11" s="15" t="n">
        <x:f>$C$25+$D$22*H11+$D$23*I11+$D$24*F11</x:f>
        <x:v>895</x:v>
      </x:c>
      <x:c r="K11" s="15" t="n">
        <x:f>(C11-J11)^2</x:f>
        <x:v>100</x:v>
      </x:c>
      <x:c r="L11" s="16" t="n">
        <x:f>(F11-AVERAGE($F$7:$F$14))^2</x:f>
        <x:v>0.25</x:v>
      </x:c>
    </x:row>
    <x:row r="12" ht="26" customHeight="1">
      <x:c r="A12" s="2" t="str">
        <x:v>Week 6</x:v>
      </x:c>
      <x:c r="B12" s="3" t="str">
        <x:v>Training</x:v>
      </x:c>
      <x:c r="C12" s="14" t="n">
        <x:v>925</x:v>
      </x:c>
      <x:c r="D12" s="14" t="n">
        <x:v>120</x:v>
      </x:c>
      <x:c r="E12" s="14" t="n">
        <x:v>100</x:v>
      </x:c>
      <x:c r="F12" s="14" t="n">
        <x:v>1</x:v>
      </x:c>
      <x:c r="G12" s="15" t="str">
        <x:v>Missing</x:v>
      </x:c>
      <x:c r="H12" s="15" t="n">
        <x:f>($B$18-D12)/($B$18-$D$18)</x:f>
        <x:v>1</x:v>
      </x:c>
      <x:c r="I12" s="15" t="n">
        <x:f>$F$18-E12</x:f>
        <x:v>0</x:v>
      </x:c>
      <x:c r="J12" s="15" t="n">
        <x:f>$C$25+$D$22*H12+$D$23*I12+$D$24*F12</x:f>
        <x:v>935</x:v>
      </x:c>
      <x:c r="K12" s="15" t="n">
        <x:f>(C12-J12)^2</x:f>
        <x:v>100</x:v>
      </x:c>
      <x:c r="L12" s="16" t="n">
        <x:f>(F12-AVERAGE($F$7:$F$14))^2</x:f>
        <x:v>0.25</x:v>
      </x:c>
    </x:row>
    <x:row r="13" ht="26" customHeight="1">
      <x:c r="A13" s="2" t="str">
        <x:v>Week 7</x:v>
      </x:c>
      <x:c r="B13" s="3" t="str">
        <x:v>Training</x:v>
      </x:c>
      <x:c r="C13" s="14" t="n">
        <x:v>885</x:v>
      </x:c>
      <x:c r="D13" s="14" t="n">
        <x:v>120</x:v>
      </x:c>
      <x:c r="E13" s="14" t="n">
        <x:v>99</x:v>
      </x:c>
      <x:c r="F13" s="14" t="n">
        <x:v>0</x:v>
      </x:c>
      <x:c r="G13" s="15" t="str">
        <x:v>Missing</x:v>
      </x:c>
      <x:c r="H13" s="15" t="n">
        <x:f>($B$18-D13)/($B$18-$D$18)</x:f>
        <x:v>1</x:v>
      </x:c>
      <x:c r="I13" s="15" t="n">
        <x:f>$F$18-E13</x:f>
        <x:v>1</x:v>
      </x:c>
      <x:c r="J13" s="15" t="n">
        <x:f>$C$25+$D$22*H13+$D$23*I13+$D$24*F13</x:f>
        <x:v>875</x:v>
      </x:c>
      <x:c r="K13" s="15" t="n">
        <x:f>(C13-J13)^2</x:f>
        <x:v>100</x:v>
      </x:c>
      <x:c r="L13" s="16" t="n">
        <x:f>(F13-AVERAGE($F$7:$F$14))^2</x:f>
        <x:v>0.25</x:v>
      </x:c>
    </x:row>
    <x:row r="14" ht="26" customHeight="1">
      <x:c r="A14" s="2" t="str">
        <x:v>Week 8</x:v>
      </x:c>
      <x:c r="B14" s="3" t="str">
        <x:v>Training</x:v>
      </x:c>
      <x:c r="C14" s="14" t="n">
        <x:v>925</x:v>
      </x:c>
      <x:c r="D14" s="14" t="n">
        <x:v>120</x:v>
      </x:c>
      <x:c r="E14" s="14" t="n">
        <x:v>99</x:v>
      </x:c>
      <x:c r="F14" s="14" t="n">
        <x:v>1</x:v>
      </x:c>
      <x:c r="G14" s="15" t="str">
        <x:v>Missing</x:v>
      </x:c>
      <x:c r="H14" s="15" t="n">
        <x:f>($B$18-D14)/($B$18-$D$18)</x:f>
        <x:v>1</x:v>
      </x:c>
      <x:c r="I14" s="15" t="n">
        <x:f>$F$18-E14</x:f>
        <x:v>1</x:v>
      </x:c>
      <x:c r="J14" s="15" t="n">
        <x:f>$C$25+$D$22*H14+$D$23*I14+$D$24*F14</x:f>
        <x:v>915</x:v>
      </x:c>
      <x:c r="K14" s="15" t="n">
        <x:f>(C14-J14)^2</x:f>
        <x:v>100</x:v>
      </x:c>
      <x:c r="L14" s="16" t="n">
        <x:f>(F14-AVERAGE($F$7:$F$14))^2</x:f>
        <x:v>0.25</x:v>
      </x:c>
    </x:row>
    <x:row r="15" ht="26" customHeight="1">
      <x:c r="A15" s="2" t="str">
        <x:v>Week 9</x:v>
      </x:c>
      <x:c r="B15" s="3" t="str">
        <x:v>Reference</x:v>
      </x:c>
      <x:c r="C15" s="14" t="n">
        <x:v>900</x:v>
      </x:c>
      <x:c r="D15" s="14" t="n">
        <x:v>120</x:v>
      </x:c>
      <x:c r="E15" s="14" t="n">
        <x:v>100</x:v>
      </x:c>
      <x:c r="F15" s="14" t="n">
        <x:v>0</x:v>
      </x:c>
      <x:c r="G15" s="15" t="str">
        <x:v>Missing</x:v>
      </x:c>
      <x:c r="H15" s="15" t="n">
        <x:f>($B$18-D15)/($B$18-$D$18)</x:f>
        <x:v>1</x:v>
      </x:c>
      <x:c r="I15" s="15" t="n">
        <x:f>$F$18-E15</x:f>
        <x:v>0</x:v>
      </x:c>
      <x:c r="J15" s="15" t="str">
        <x:v>Not fitted</x:v>
      </x:c>
      <x:c r="K15" s="15" t="str">
        <x:v>Not fitted</x:v>
      </x:c>
      <x:c r="L15" s="3" t="str">
        <x:v>Not fitted</x:v>
      </x:c>
    </x:row>
    <x:row r="16" ht="26" customHeight="1">
      <x:c r="A16" s="2" t="str">
        <x:v>Week 10</x:v>
      </x:c>
      <x:c r="B16" s="3" t="str">
        <x:v>Reporting</x:v>
      </x:c>
      <x:c r="C16" s="14" t="n">
        <x:v>925</x:v>
      </x:c>
      <x:c r="D16" s="14" t="n">
        <x:v>120</x:v>
      </x:c>
      <x:c r="E16" s="14" t="n">
        <x:v>99</x:v>
      </x:c>
      <x:c r="F16" s="14" t="n">
        <x:v>1</x:v>
      </x:c>
      <x:c r="G16" s="15" t="str">
        <x:v>Missing</x:v>
      </x:c>
      <x:c r="H16" s="15" t="n">
        <x:f>($B$18-D16)/($B$18-$D$18)</x:f>
        <x:v>1</x:v>
      </x:c>
      <x:c r="I16" s="15" t="n">
        <x:f>$F$18-E16</x:f>
        <x:v>1</x:v>
      </x:c>
      <x:c r="J16" s="15" t="str">
        <x:v>Not fitted</x:v>
      </x:c>
      <x:c r="K16" s="15" t="str">
        <x:v>Not fitted</x:v>
      </x:c>
      <x:c r="L16" s="3" t="str">
        <x:v>Not fitted</x:v>
      </x:c>
    </x:row>
    <x:row r="17" ht="26" customHeight="1">
      <x:c r="A17" s="2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</x:row>
    <x:row r="18" ht="26" customHeight="1">
      <x:c r="A18" s="2" t="str">
        <x:v>Weak seconds</x:v>
      </x:c>
      <x:c r="B18" s="3" t="n">
        <x:f>MAX(D7:D14)</x:f>
        <x:v>180</x:v>
      </x:c>
      <x:c r="C18" s="3" t="str">
        <x:v>Maintained sec</x:v>
      </x:c>
      <x:c r="D18" s="3" t="n">
        <x:f>MIN(D7:D14)</x:f>
        <x:v>120</x:v>
      </x:c>
      <x:c r="E18" s="3" t="str">
        <x:v>Normal index</x:v>
      </x:c>
      <x:c r="F18" s="3" t="n">
        <x:f>MAX(E7:E14)</x:f>
        <x:v>100</x:v>
      </x:c>
      <x:c r="G18" s="3"/>
      <x:c r="H18" s="3"/>
      <x:c r="I18" s="3"/>
      <x:c r="J18" s="3"/>
      <x:c r="K18" s="3"/>
      <x:c r="L18" s="3"/>
    </x:row>
    <x:row r="19" ht="26" customHeight="1">
      <x:c r="A19" s="5" t="str">
        <x:v>Service units = (180 − seconds) / 60. Demand units = 100 − index. Anchors use observed extremes here; production weak thresholds need historical validation.</x:v>
      </x:c>
      <x:c r="B19" s="17"/>
      <x:c r="C19" s="17"/>
      <x:c r="D19" s="17"/>
      <x:c r="E19" s="17"/>
      <x:c r="F19" s="17"/>
      <x:c r="G19" s="17"/>
      <x:c r="H19" s="17"/>
      <x:c r="I19" s="17"/>
      <x:c r="J19" s="17"/>
      <x:c r="K19" s="17"/>
      <x:c r="L19" s="17"/>
    </x:row>
    <x:row r="20" ht="26" customHeight="1">
      <x:c r="A20" s="7" t="str">
        <x:v>2. Estimate effects directly from the eight training rows</x:v>
      </x:c>
      <x:c r="B20" s="19"/>
      <x:c r="C20" s="19"/>
      <x:c r="D20" s="19"/>
      <x:c r="E20" s="19"/>
      <x:c r="F20" s="19"/>
      <x:c r="G20" s="19"/>
      <x:c r="H20" s="19"/>
      <x:c r="I20" s="19"/>
      <x:c r="J20" s="19"/>
      <x:c r="K20" s="19"/>
      <x:c r="L20" s="19"/>
    </x:row>
    <x:row r="21" ht="40" customHeight="1">
      <x:c r="A21" s="11" t="str">
        <x:v>Driver</x:v>
      </x:c>
      <x:c r="B21" s="23" t="str">
        <x:v>Group 0 GC avg</x:v>
      </x:c>
      <x:c r="C21" s="23" t="str">
        <x:v>Group 1 GC avg</x:v>
      </x:c>
      <x:c r="D21" s="23" t="str">
        <x:v>Raw effect</x:v>
      </x:c>
      <x:c r="E21" s="23" t="str">
        <x:v>Unit of effect</x:v>
      </x:c>
      <x:c r="F21" s="23" t="str">
        <x:v>Final effect</x:v>
      </x:c>
      <x:c r="G21" s="3"/>
      <x:c r="H21" s="3"/>
      <x:c r="I21" s="3"/>
      <x:c r="J21" s="3"/>
      <x:c r="K21" s="3"/>
      <x:c r="L21" s="3"/>
    </x:row>
    <x:row r="22" ht="26" customHeight="1">
      <x:c r="A22" s="2" t="str">
        <x:v>Service</x:v>
      </x:c>
      <x:c r="B22" s="3" t="n">
        <x:f>AVERAGEIFS($C$7:$C$14,$H$7:$H$14,0)</x:f>
        <x:v>805</x:v>
      </x:c>
      <x:c r="C22" s="3" t="n">
        <x:f>AVERAGEIFS($C$7:$C$14,$H$7:$H$14,1)</x:f>
        <x:v>905</x:v>
      </x:c>
      <x:c r="D22" s="3" t="n">
        <x:f>C22-B22</x:f>
        <x:v>100</x:v>
      </x:c>
      <x:c r="E22" s="3" t="str">
        <x:v>Per 60s faster</x:v>
      </x:c>
      <x:c r="F22" s="3" t="n">
        <x:f>D22</x:f>
        <x:v>100</x:v>
      </x:c>
      <x:c r="G22" s="3"/>
      <x:c r="H22" s="3" t="str">
        <x:v>Service: 905 − 805 = +100 GC</x:v>
      </x:c>
      <x:c r="I22" s="3"/>
      <x:c r="J22" s="3"/>
      <x:c r="K22" s="3"/>
      <x:c r="L22" s="3"/>
    </x:row>
    <x:row r="23" ht="26" customHeight="1">
      <x:c r="A23" s="2" t="str">
        <x:v>External demand</x:v>
      </x:c>
      <x:c r="B23" s="3" t="n">
        <x:f>AVERAGEIFS($C$7:$C$14,$I$7:$I$14,0)</x:f>
        <x:v>865</x:v>
      </x:c>
      <x:c r="C23" s="3" t="n">
        <x:f>AVERAGEIFS($C$7:$C$14,$I$7:$I$14,1)</x:f>
        <x:v>845</x:v>
      </x:c>
      <x:c r="D23" s="3" t="n">
        <x:f>C23-B23</x:f>
        <x:v>-20</x:v>
      </x:c>
      <x:c r="E23" s="3" t="str">
        <x:v>Per index drop</x:v>
      </x:c>
      <x:c r="F23" s="3" t="n">
        <x:f>D23</x:f>
        <x:v>-20</x:v>
      </x:c>
      <x:c r="G23" s="3"/>
      <x:c r="H23" s="3" t="str">
        <x:v>External: 845 − 865 = −20 GC</x:v>
      </x:c>
      <x:c r="I23" s="3"/>
      <x:c r="J23" s="3"/>
      <x:c r="K23" s="3"/>
      <x:c r="L23" s="3"/>
    </x:row>
    <x:row r="24" ht="26" customHeight="1">
      <x:c r="A24" s="2" t="str">
        <x:v>Campaign</x:v>
      </x:c>
      <x:c r="B24" s="3" t="n">
        <x:f>AVERAGEIFS($C$7:$C$14,$F$7:$F$14,0)</x:f>
        <x:v>835</x:v>
      </x:c>
      <x:c r="C24" s="3" t="n">
        <x:f>AVERAGEIFS($C$7:$C$14,$F$7:$F$14,1)</x:f>
        <x:v>875</x:v>
      </x:c>
      <x:c r="D24" s="3" t="n">
        <x:f>C24-B24</x:f>
        <x:v>40</x:v>
      </x:c>
      <x:c r="E24" s="3" t="str">
        <x:v>Per $1k spend</x:v>
      </x:c>
      <x:c r="F24" s="3" t="n">
        <x:f>H32</x:f>
        <x:v>30</x:v>
      </x:c>
      <x:c r="G24" s="3"/>
      <x:c r="H24" s="3" t="str">
        <x:v>Campaign: 875 − 835 = +40 GC</x:v>
      </x:c>
      <x:c r="I24" s="3"/>
      <x:c r="J24" s="3"/>
      <x:c r="K24" s="3"/>
      <x:c r="L24" s="3"/>
    </x:row>
    <x:row r="25" ht="26" customHeight="1">
      <x:c r="A25" s="2" t="str">
        <x:v>Intercept</x:v>
      </x:c>
      <x:c r="B25" s="3" t="n">
        <x:f>AVERAGE(C7:C14)</x:f>
        <x:v>855</x:v>
      </x:c>
      <x:c r="C25" s="3" t="n">
        <x:f>B25-D22*AVERAGE(H7:H14)-D23*AVERAGE(I7:I14)-D24*AVERAGE(F7:F14)</x:f>
        <x:v>795</x:v>
      </x:c>
      <x:c r="D25" s="3"/>
      <x:c r="E25" s="3" t="str">
        <x:v>GC at all zeros</x:v>
      </x:c>
      <x:c r="F25" s="3" t="n">
        <x:f>B25-F22*AVERAGE(H7:H14)-F23*AVERAGE(I7:I14)-F24*AVERAGE(F7:F14)</x:f>
        <x:v>800</x:v>
      </x:c>
      <x:c r="G25" s="3"/>
      <x:c r="H25" s="3" t="str">
        <x:v>B = mean GC; C = OLS intercept; F = recalibrated intercept.</x:v>
      </x:c>
      <x:c r="I25" s="3"/>
      <x:c r="J25" s="3"/>
      <x:c r="K25" s="3"/>
      <x:c r="L25" s="3"/>
    </x:row>
    <x:row r="26" ht="26" customHeight="1">
      <x:c r="A26" s="5" t="str">
        <x:v>The eight rows contain every 0/1 combination once. Group differences equal joint OLS slopes here because the three inputs are balanced and uncorrelated.</x:v>
      </x:c>
      <x:c r="B26" s="17"/>
      <x:c r="C26" s="17"/>
      <x:c r="D26" s="17"/>
      <x:c r="E26" s="17"/>
      <x:c r="F26" s="17"/>
      <x:c r="G26" s="17"/>
      <x:c r="H26" s="17"/>
      <x:c r="I26" s="17"/>
      <x:c r="J26" s="17"/>
      <x:c r="K26" s="17"/>
      <x:c r="L26" s="17"/>
    </x:row>
    <x:row r="27" ht="26" customHeight="1">
      <x:c r="A27" s="5" t="str">
        <x:v>Changing training features can break this shortcut. Use a joint regression on real data. You can change training GC, prior strength, or the two scoring weeks.</x:v>
      </x:c>
      <x:c r="B27" s="17"/>
      <x:c r="C27" s="17"/>
      <x:c r="D27" s="17"/>
      <x:c r="E27" s="17"/>
      <x:c r="F27" s="17"/>
      <x:c r="G27" s="17"/>
      <x:c r="H27" s="17"/>
      <x:c r="I27" s="17"/>
      <x:c r="J27" s="17"/>
      <x:c r="K27" s="17"/>
      <x:c r="L27" s="17"/>
    </x:row>
    <x:row r="28" ht="26" customHeight="1">
      <x:c r="A28" s="7" t="str">
        <x:v>3. Use an earlier experiment as a campaign prior</x:v>
      </x:c>
      <x:c r="B28" s="19"/>
      <x:c r="C28" s="19"/>
      <x:c r="D28" s="19"/>
      <x:c r="E28" s="19"/>
      <x:c r="F28" s="19"/>
      <x:c r="G28" s="19"/>
      <x:c r="H28" s="19"/>
      <x:c r="I28" s="19"/>
      <x:c r="J28" s="19"/>
      <x:c r="K28" s="19"/>
      <x:c r="L28" s="19"/>
    </x:row>
    <x:row r="29" ht="40" customHeight="1">
      <x:c r="A29" s="11" t="str">
        <x:v>Evidence</x:v>
      </x:c>
      <x:c r="B29" s="23" t="str">
        <x:v>No spend GC</x:v>
      </x:c>
      <x:c r="C29" s="23" t="str">
        <x:v>+$1k spend GC</x:v>
      </x:c>
      <x:c r="D29" s="23" t="str">
        <x:v>Effect</x:v>
      </x:c>
      <x:c r="E29" s="23" t="str">
        <x:v>SD / SE</x:v>
      </x:c>
      <x:c r="F29" s="23" t="str">
        <x:v>Precision</x:v>
      </x:c>
      <x:c r="G29" s="23" t="str">
        <x:v>Weight</x:v>
      </x:c>
      <x:c r="H29" s="23" t="str">
        <x:v>Weighted effect</x:v>
      </x:c>
      <x:c r="I29" s="3"/>
      <x:c r="J29" s="3"/>
      <x:c r="K29" s="3"/>
      <x:c r="L29" s="3"/>
    </x:row>
    <x:row r="30" ht="26" customHeight="1">
      <x:c r="A30" s="2" t="str">
        <x:v>Earlier experiment</x:v>
      </x:c>
      <x:c r="B30" s="13" t="n">
        <x:v>800</x:v>
      </x:c>
      <x:c r="C30" s="13" t="n">
        <x:v>820</x:v>
      </x:c>
      <x:c r="D30" s="3" t="n">
        <x:f>C30-B30</x:f>
        <x:v>20</x:v>
      </x:c>
      <x:c r="E30" s="26" t="n">
        <x:v>10</x:v>
      </x:c>
      <x:c r="F30" s="24" t="n">
        <x:f>1/E30^2</x:f>
        <x:v>0.01</x:v>
      </x:c>
      <x:c r="G30" s="25" t="n">
        <x:f>F30/SUM($F$30:$F$31)</x:f>
        <x:v>0.5</x:v>
      </x:c>
      <x:c r="H30" s="3" t="n">
        <x:f>D30*G30</x:f>
        <x:v>10</x:v>
      </x:c>
      <x:c r="I30" s="3"/>
      <x:c r="J30" s="3"/>
      <x:c r="K30" s="3"/>
      <x:c r="L30" s="3"/>
    </x:row>
    <x:row r="31" ht="26" customHeight="1">
      <x:c r="A31" s="2" t="str">
        <x:v>Current weekly data</x:v>
      </x:c>
      <x:c r="B31" s="3" t="n">
        <x:f>B24</x:f>
        <x:v>835</x:v>
      </x:c>
      <x:c r="C31" s="3" t="n">
        <x:f>C24</x:f>
        <x:v>875</x:v>
      </x:c>
      <x:c r="D31" s="3" t="n">
        <x:f>D24</x:f>
        <x:v>40</x:v>
      </x:c>
      <x:c r="E31" s="16" t="n">
        <x:f>SQRT(SUM(K7:K14)/(COUNT(C7:C14)-4)/SUM(L7:L14))</x:f>
        <x:v>10</x:v>
      </x:c>
      <x:c r="F31" s="24" t="n">
        <x:f>1/E31^2</x:f>
        <x:v>0.01</x:v>
      </x:c>
      <x:c r="G31" s="25" t="n">
        <x:f>F31/SUM($F$30:$F$31)</x:f>
        <x:v>0.5</x:v>
      </x:c>
      <x:c r="H31" s="3" t="n">
        <x:f>D31*G31</x:f>
        <x:v>20</x:v>
      </x:c>
      <x:c r="I31" s="3"/>
      <x:c r="J31" s="3"/>
      <x:c r="K31" s="3"/>
      <x:c r="L31" s="3"/>
    </x:row>
    <x:row r="32" ht="26" customHeight="1">
      <x:c r="A32" s="2" t="str">
        <x:v>Updated campaign effect</x:v>
      </x:c>
      <x:c r="B32" s="3"/>
      <x:c r="C32" s="3"/>
      <x:c r="D32" s="3"/>
      <x:c r="E32" s="16" t="n">
        <x:f>SQRT(1/SUM(F30:F31))</x:f>
        <x:v>7.0710678118654755</x:v>
      </x:c>
      <x:c r="F32" s="3"/>
      <x:c r="G32" s="3"/>
      <x:c r="H32" s="3" t="n">
        <x:f>SUM(H30:H31)</x:f>
        <x:v>30</x:v>
      </x:c>
      <x:c r="I32" s="3"/>
      <x:c r="J32" s="3"/>
      <x:c r="K32" s="3"/>
      <x:c r="L32" s="3"/>
    </x:row>
    <x:row r="33" ht="26" customHeight="1">
      <x:c r="A33" s="5" t="str">
        <x:v>The experiment cells are comparable arm averages; its prior SD of 10 comes from a hypothetical study report, not from these two averages alone.</x:v>
      </x:c>
      <x:c r="B33" s="17"/>
      <x:c r="C33" s="17"/>
      <x:c r="D33" s="17"/>
      <x:c r="E33" s="17"/>
      <x:c r="F33" s="17"/>
      <x:c r="G33" s="17"/>
      <x:c r="H33" s="17"/>
      <x:c r="I33" s="17"/>
      <x:c r="J33" s="17"/>
      <x:c r="K33" s="17"/>
      <x:c r="L33" s="17"/>
    </x:row>
    <x:row r="34" ht="26" customHeight="1">
      <x:c r="A34" s="5" t="str">
        <x:v>Current SE = √[(800 squared-error total / (8 rows − 4 fitted parameters)) / 2 centered-spend sum of squares] = 10.</x:v>
      </x:c>
      <x:c r="B34" s="17"/>
      <x:c r="C34" s="17"/>
      <x:c r="D34" s="17"/>
      <x:c r="E34" s="17"/>
      <x:c r="F34" s="17"/>
      <x:c r="G34" s="17"/>
      <x:c r="H34" s="17"/>
      <x:c r="I34" s="17"/>
      <x:c r="J34" s="17"/>
      <x:c r="K34" s="17"/>
      <x:c r="L34" s="17"/>
    </x:row>
    <x:row r="35" ht="26" customHeight="1">
      <x:c r="A35" s="5" t="str">
        <x:v>Normal approximation, SE held fixed: 20 × 50% + 40 × 50% = 30. Refit the intercept from 795 to 800 to preserve the training mean.</x:v>
      </x:c>
      <x:c r="B35" s="17"/>
      <x:c r="C35" s="17"/>
      <x:c r="D35" s="17"/>
      <x:c r="E35" s="17"/>
      <x:c r="F35" s="17"/>
      <x:c r="G35" s="17"/>
      <x:c r="H35" s="17"/>
      <x:c r="I35" s="17"/>
      <x:c r="J35" s="17"/>
      <x:c r="K35" s="17"/>
      <x:c r="L35" s="17"/>
    </x:row>
    <x:row r="36" ht="26" customHeight="1">
      <x:c r="A36" s="5" t="str">
        <x:v>Final model: predicted GC = 800 + 100 × service units − 20 × demand units + 30 × campaign $k. Earlier evidence is independent of training data.</x:v>
      </x:c>
      <x:c r="B36" s="17"/>
      <x:c r="C36" s="17"/>
      <x:c r="D36" s="17"/>
      <x:c r="E36" s="17"/>
      <x:c r="F36" s="17"/>
      <x:c r="G36" s="17"/>
      <x:c r="H36" s="17"/>
      <x:c r="I36" s="17"/>
      <x:c r="J36" s="17"/>
      <x:c r="K36" s="17"/>
      <x:c r="L36" s="17"/>
    </x:row>
    <x:row r="37" ht="26" customHeight="1">
      <x:c r="A37" s="7" t="str">
        <x:v>4. Score four input rows with the same final model</x:v>
      </x:c>
      <x:c r="B37" s="19"/>
      <x:c r="C37" s="19"/>
      <x:c r="D37" s="19"/>
      <x:c r="E37" s="19"/>
      <x:c r="F37" s="19"/>
      <x:c r="G37" s="19"/>
      <x:c r="H37" s="19"/>
      <x:c r="I37" s="19"/>
      <x:c r="J37" s="19"/>
      <x:c r="K37" s="19"/>
      <x:c r="L37" s="19"/>
    </x:row>
    <x:row r="38" ht="42" customHeight="1">
      <x:c r="A38" s="11" t="str">
        <x:v>Scoring row</x:v>
      </x:c>
      <x:c r="B38" s="23" t="str">
        <x:v>Service sec</x:v>
      </x:c>
      <x:c r="C38" s="23" t="str">
        <x:v>Demand index</x:v>
      </x:c>
      <x:c r="D38" s="23" t="str">
        <x:v>Campaign $k</x:v>
      </x:c>
      <x:c r="E38" s="23" t="str">
        <x:v>Service units</x:v>
      </x:c>
      <x:c r="F38" s="23" t="str">
        <x:v>Demand units</x:v>
      </x:c>
      <x:c r="G38" s="23" t="str">
        <x:v>Intercept</x:v>
      </x:c>
      <x:c r="H38" s="23" t="str">
        <x:v>Foundation GC</x:v>
      </x:c>
      <x:c r="I38" s="23" t="str">
        <x:v>External GC</x:v>
      </x:c>
      <x:c r="J38" s="23" t="str">
        <x:v>Campaign GC</x:v>
      </x:c>
      <x:c r="K38" s="23" t="str">
        <x:v>Predicted GC</x:v>
      </x:c>
      <x:c r="L38" s="23" t="str">
        <x:v>Actual GC</x:v>
      </x:c>
    </x:row>
    <x:row r="39" ht="26" customHeight="1">
      <x:c r="A39" s="2" t="str">
        <x:v>Reference week</x:v>
      </x:c>
      <x:c r="B39" s="3" t="n">
        <x:f>D15</x:f>
        <x:v>120</x:v>
      </x:c>
      <x:c r="C39" s="3" t="n">
        <x:f>E15</x:f>
        <x:v>100</x:v>
      </x:c>
      <x:c r="D39" s="3" t="n">
        <x:f>F15</x:f>
        <x:v>0</x:v>
      </x:c>
      <x:c r="E39" s="3" t="n">
        <x:f>($B$18-B39)/($B$18-$D$18)</x:f>
        <x:v>1</x:v>
      </x:c>
      <x:c r="F39" s="3" t="n">
        <x:f>$F$18-C39</x:f>
        <x:v>0</x:v>
      </x:c>
      <x:c r="G39" s="3" t="n">
        <x:f>$F$25</x:f>
        <x:v>800</x:v>
      </x:c>
      <x:c r="H39" s="3" t="n">
        <x:f>$F$22*E39</x:f>
        <x:v>100</x:v>
      </x:c>
      <x:c r="I39" s="3" t="n">
        <x:f>$F$23*F39</x:f>
        <x:v>0</x:v>
      </x:c>
      <x:c r="J39" s="3" t="n">
        <x:f>$F$24*D39</x:f>
        <x:v>0</x:v>
      </x:c>
      <x:c r="K39" s="3" t="n">
        <x:f>SUM(G39:J39)</x:f>
        <x:v>900</x:v>
      </x:c>
      <x:c r="L39" s="3" t="n">
        <x:f>C15</x:f>
        <x:v>900</x:v>
      </x:c>
    </x:row>
    <x:row r="40" ht="26" customHeight="1">
      <x:c r="A40" s="2" t="str">
        <x:v>Weak reference</x:v>
      </x:c>
      <x:c r="B40" s="3" t="n">
        <x:f>$B$18</x:f>
        <x:v>180</x:v>
      </x:c>
      <x:c r="C40" s="3" t="n">
        <x:f>C39</x:f>
        <x:v>100</x:v>
      </x:c>
      <x:c r="D40" s="3" t="n">
        <x:f>D39</x:f>
        <x:v>0</x:v>
      </x:c>
      <x:c r="E40" s="3" t="n">
        <x:f>($B$18-B40)/($B$18-$D$18)</x:f>
        <x:v>0</x:v>
      </x:c>
      <x:c r="F40" s="3" t="n">
        <x:f>$F$18-C40</x:f>
        <x:v>0</x:v>
      </x:c>
      <x:c r="G40" s="3" t="n">
        <x:f>$F$25</x:f>
        <x:v>800</x:v>
      </x:c>
      <x:c r="H40" s="3" t="n">
        <x:f>$F$22*E40</x:f>
        <x:v>0</x:v>
      </x:c>
      <x:c r="I40" s="3" t="n">
        <x:f>$F$23*F40</x:f>
        <x:v>0</x:v>
      </x:c>
      <x:c r="J40" s="3" t="n">
        <x:f>$F$24*D40</x:f>
        <x:v>0</x:v>
      </x:c>
      <x:c r="K40" s="3" t="n">
        <x:f>SUM(G40:J40)</x:f>
        <x:v>800</x:v>
      </x:c>
      <x:c r="L40" s="3" t="str">
        <x:v>Unobserved</x:v>
      </x:c>
    </x:row>
    <x:row r="41" ht="26" customHeight="1">
      <x:c r="A41" s="2" t="str">
        <x:v>Reporting week</x:v>
      </x:c>
      <x:c r="B41" s="3" t="n">
        <x:f>D16</x:f>
        <x:v>120</x:v>
      </x:c>
      <x:c r="C41" s="3" t="n">
        <x:f>E16</x:f>
        <x:v>99</x:v>
      </x:c>
      <x:c r="D41" s="3" t="n">
        <x:f>F16</x:f>
        <x:v>1</x:v>
      </x:c>
      <x:c r="E41" s="3" t="n">
        <x:f>($B$18-B41)/($B$18-$D$18)</x:f>
        <x:v>1</x:v>
      </x:c>
      <x:c r="F41" s="3" t="n">
        <x:f>$F$18-C41</x:f>
        <x:v>1</x:v>
      </x:c>
      <x:c r="G41" s="3" t="n">
        <x:f>$F$25</x:f>
        <x:v>800</x:v>
      </x:c>
      <x:c r="H41" s="3" t="n">
        <x:f>$F$22*E41</x:f>
        <x:v>100</x:v>
      </x:c>
      <x:c r="I41" s="3" t="n">
        <x:f>$F$23*F41</x:f>
        <x:v>-20</x:v>
      </x:c>
      <x:c r="J41" s="3" t="n">
        <x:f>$F$24*D41</x:f>
        <x:v>30</x:v>
      </x:c>
      <x:c r="K41" s="3" t="n">
        <x:f>SUM(G41:J41)</x:f>
        <x:v>910</x:v>
      </x:c>
      <x:c r="L41" s="3" t="n">
        <x:f>C16</x:f>
        <x:v>925</x:v>
      </x:c>
    </x:row>
    <x:row r="42" ht="26" customHeight="1">
      <x:c r="A42" s="2" t="str">
        <x:v>Weak reporting</x:v>
      </x:c>
      <x:c r="B42" s="3" t="n">
        <x:f>$B$18</x:f>
        <x:v>180</x:v>
      </x:c>
      <x:c r="C42" s="3" t="n">
        <x:f>C41</x:f>
        <x:v>99</x:v>
      </x:c>
      <x:c r="D42" s="3" t="n">
        <x:f>D41</x:f>
        <x:v>1</x:v>
      </x:c>
      <x:c r="E42" s="3" t="n">
        <x:f>($B$18-B42)/($B$18-$D$18)</x:f>
        <x:v>0</x:v>
      </x:c>
      <x:c r="F42" s="3" t="n">
        <x:f>$F$18-C42</x:f>
        <x:v>1</x:v>
      </x:c>
      <x:c r="G42" s="3" t="n">
        <x:f>$F$25</x:f>
        <x:v>800</x:v>
      </x:c>
      <x:c r="H42" s="3" t="n">
        <x:f>$F$22*E42</x:f>
        <x:v>0</x:v>
      </x:c>
      <x:c r="I42" s="3" t="n">
        <x:f>$F$23*F42</x:f>
        <x:v>-20</x:v>
      </x:c>
      <x:c r="J42" s="3" t="n">
        <x:f>$F$24*D42</x:f>
        <x:v>30</x:v>
      </x:c>
      <x:c r="K42" s="3" t="n">
        <x:f>SUM(G42:J42)</x:f>
        <x:v>810</x:v>
      </x:c>
      <x:c r="L42" s="3" t="str">
        <x:v>Unobserved</x:v>
      </x:c>
    </x:row>
    <x:row r="43" ht="26" customHeight="1">
      <x:c r="A43" s="2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</x:row>
    <x:row r="44" ht="26" customHeight="1">
      <x:c r="A44" s="5" t="str">
        <x:v>Matched counterfactual: reporting prediction 910 − weak reporting prediction 810 = 100 protected GC. Only service time changes between these rows.</x:v>
      </x:c>
      <x:c r="B44" s="17"/>
      <x:c r="C44" s="17"/>
      <x:c r="D44" s="17"/>
      <x:c r="E44" s="17"/>
      <x:c r="F44" s="17"/>
      <x:c r="G44" s="17"/>
      <x:c r="H44" s="17"/>
      <x:c r="I44" s="17"/>
      <x:c r="J44" s="17"/>
      <x:c r="K44" s="17"/>
      <x:c r="L44" s="17"/>
    </x:row>
    <x:row r="45" ht="26" customHeight="1">
      <x:c r="A45" s="5" t="str">
        <x:v>The weak reference is 800. The weak reporting prediction is 810 because external demand (−20) and the campaign (+30) are held at reporting conditions.</x:v>
      </x:c>
      <x:c r="B45" s="17"/>
      <x:c r="C45" s="17"/>
      <x:c r="D45" s="17"/>
      <x:c r="E45" s="17"/>
      <x:c r="F45" s="17"/>
      <x:c r="G45" s="17"/>
      <x:c r="H45" s="17"/>
      <x:c r="I45" s="17"/>
      <x:c r="J45" s="17"/>
      <x:c r="K45" s="17"/>
      <x:c r="L45" s="17"/>
    </x:row>
    <x:row r="46" ht="26" customHeight="1">
      <x:c r="A46" s="2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</x:row>
    <x:row r="47" ht="26" customHeight="1">
      <x:c r="A47" s="7" t="str">
        <x:v>5. Integrate the components into a weekly waterfall</x:v>
      </x:c>
      <x:c r="B47" s="19"/>
      <x:c r="C47" s="19"/>
      <x:c r="D47" s="19"/>
      <x:c r="E47" s="19"/>
      <x:c r="F47" s="19"/>
      <x:c r="G47" s="19"/>
      <x:c r="H47" s="19"/>
      <x:c r="I47" s="19"/>
      <x:c r="J47" s="19"/>
      <x:c r="K47" s="19"/>
      <x:c r="L47" s="19"/>
    </x:row>
    <x:row r="48" ht="26" customHeight="1">
      <x:c r="A48" s="11" t="str">
        <x:v>Waterfall step</x:v>
      </x:c>
      <x:c r="B48" s="23" t="str">
        <x:v>GC amount</x:v>
      </x:c>
      <x:c r="C48" s="23" t="str">
        <x:v>GC level</x:v>
      </x:c>
      <x:c r="D48" s="23" t="str">
        <x:v>Calculation</x:v>
      </x:c>
      <x:c r="E48" s="23"/>
      <x:c r="F48" s="23"/>
      <x:c r="G48" s="3"/>
      <x:c r="H48" s="3"/>
      <x:c r="I48" s="3"/>
      <x:c r="J48" s="3"/>
      <x:c r="K48" s="3"/>
      <x:c r="L48" s="3"/>
    </x:row>
    <x:row r="49" ht="26" customHeight="1">
      <x:c r="A49" s="2" t="str">
        <x:v>Reference actual</x:v>
      </x:c>
      <x:c r="B49" s="3" t="n">
        <x:f>C15</x:f>
        <x:v>900</x:v>
      </x:c>
      <x:c r="C49" s="3" t="n">
        <x:f>B49</x:f>
        <x:v>900</x:v>
      </x:c>
      <x:c r="D49" s="3" t="str">
        <x:v>Observed reference week.</x:v>
      </x:c>
      <x:c r="E49" s="3"/>
      <x:c r="F49" s="3"/>
      <x:c r="G49" s="3"/>
      <x:c r="H49" s="3"/>
      <x:c r="I49" s="3"/>
      <x:c r="J49" s="3"/>
      <x:c r="K49" s="3"/>
      <x:c r="L49" s="3"/>
    </x:row>
    <x:row r="50" ht="26" customHeight="1">
      <x:c r="A50" s="2" t="str">
        <x:v>Reset to weak reference</x:v>
      </x:c>
      <x:c r="B50" s="3" t="n">
        <x:f>K40-C15</x:f>
        <x:v>-100</x:v>
      </x:c>
      <x:c r="C50" s="3" t="n">
        <x:f>C49+B50</x:f>
        <x:v>800</x:v>
      </x:c>
      <x:c r="D50" s="3" t="str">
        <x:v>Weak prediction minus reference actual.</x:v>
      </x:c>
      <x:c r="E50" s="3"/>
      <x:c r="F50" s="3"/>
      <x:c r="G50" s="3"/>
      <x:c r="H50" s="3"/>
      <x:c r="I50" s="3"/>
      <x:c r="J50" s="3"/>
      <x:c r="K50" s="3"/>
      <x:c r="L50" s="3"/>
    </x:row>
    <x:row r="51" ht="26" customHeight="1">
      <x:c r="A51" s="28" t="str">
        <x:v>Weak reference subtotal</x:v>
      </x:c>
      <x:c r="B51" s="29" t="n">
        <x:f>K40</x:f>
        <x:v>800</x:v>
      </x:c>
      <x:c r="C51" s="29" t="n">
        <x:f>B51</x:f>
        <x:v>800</x:v>
      </x:c>
      <x:c r="D51" s="3" t="str">
        <x:v>Subtotal, not an extra contribution.</x:v>
      </x:c>
      <x:c r="E51" s="3"/>
      <x:c r="F51" s="3"/>
      <x:c r="G51" s="3"/>
      <x:c r="H51" s="3"/>
      <x:c r="I51" s="3"/>
      <x:c r="J51" s="3"/>
      <x:c r="K51" s="3"/>
      <x:c r="L51" s="3"/>
    </x:row>
    <x:row r="52" ht="26" customHeight="1">
      <x:c r="A52" s="30" t="str">
        <x:v>Foundation protection</x:v>
      </x:c>
      <x:c r="B52" s="31" t="n">
        <x:f>K41-K42</x:f>
        <x:v>100</x:v>
      </x:c>
      <x:c r="C52" s="31" t="n">
        <x:f>C51+B52</x:f>
        <x:v>900</x:v>
      </x:c>
      <x:c r="D52" s="3" t="str">
        <x:v>Reporting minus matched weak prediction.</x:v>
      </x:c>
      <x:c r="E52" s="3"/>
      <x:c r="F52" s="3"/>
      <x:c r="G52" s="3"/>
      <x:c r="H52" s="3"/>
      <x:c r="I52" s="3"/>
      <x:c r="J52" s="3"/>
      <x:c r="K52" s="3"/>
      <x:c r="L52" s="3"/>
    </x:row>
    <x:row r="53" ht="26" customHeight="1">
      <x:c r="A53" s="32" t="str">
        <x:v>External context</x:v>
      </x:c>
      <x:c r="B53" s="33" t="n">
        <x:f>I41-I40</x:f>
        <x:v>-20</x:v>
      </x:c>
      <x:c r="C53" s="33" t="n">
        <x:f>C52+B53</x:f>
        <x:v>880</x:v>
      </x:c>
      <x:c r="D53" s="3" t="str">
        <x:v>Effect of the change in demand index.</x:v>
      </x:c>
      <x:c r="E53" s="3"/>
      <x:c r="F53" s="3"/>
      <x:c r="G53" s="3"/>
      <x:c r="H53" s="3"/>
      <x:c r="I53" s="3"/>
      <x:c r="J53" s="3"/>
      <x:c r="K53" s="3"/>
      <x:c r="L53" s="3"/>
    </x:row>
    <x:row r="54" ht="26" customHeight="1">
      <x:c r="A54" s="34" t="str">
        <x:v>Growth momentum</x:v>
      </x:c>
      <x:c r="B54" s="35" t="n">
        <x:f>J41-J40</x:f>
        <x:v>30</x:v>
      </x:c>
      <x:c r="C54" s="35" t="n">
        <x:f>C53+B54</x:f>
        <x:v>910</x:v>
      </x:c>
      <x:c r="D54" s="3" t="str">
        <x:v>Effect of campaign spend above reference.</x:v>
      </x:c>
      <x:c r="E54" s="3"/>
      <x:c r="F54" s="3"/>
      <x:c r="G54" s="3"/>
      <x:c r="H54" s="3"/>
      <x:c r="I54" s="3"/>
      <x:c r="J54" s="3"/>
      <x:c r="K54" s="3"/>
      <x:c r="L54" s="3"/>
    </x:row>
    <x:row r="55" ht="26" customHeight="1">
      <x:c r="A55" s="36" t="str">
        <x:v>Unexplained gap</x:v>
      </x:c>
      <x:c r="B55" s="37" t="n">
        <x:f>C16-K41</x:f>
        <x:v>15</x:v>
      </x:c>
      <x:c r="C55" s="37" t="n">
        <x:f>C54+B55</x:f>
        <x:v>925</x:v>
      </x:c>
      <x:c r="D55" s="3" t="str">
        <x:v>Observed reporting GC minus prediction.</x:v>
      </x:c>
      <x:c r="E55" s="3"/>
      <x:c r="F55" s="3"/>
      <x:c r="G55" s="3"/>
      <x:c r="H55" s="3"/>
      <x:c r="I55" s="3"/>
      <x:c r="J55" s="3"/>
      <x:c r="K55" s="3"/>
      <x:c r="L55" s="3"/>
    </x:row>
    <x:row r="56" ht="26" customHeight="1">
      <x:c r="A56" s="2" t="str">
        <x:v>Reporting actual</x:v>
      </x:c>
      <x:c r="B56" s="3" t="n">
        <x:f>C16</x:f>
        <x:v>925</x:v>
      </x:c>
      <x:c r="C56" s="3" t="n">
        <x:f>B56</x:f>
        <x:v>925</x:v>
      </x:c>
      <x:c r="D56" s="3" t="str">
        <x:v>Observed reporting week.</x:v>
      </x:c>
      <x:c r="E56" s="3"/>
      <x:c r="F56" s="3"/>
      <x:c r="G56" s="3"/>
      <x:c r="H56" s="3"/>
      <x:c r="I56" s="3"/>
      <x:c r="J56" s="3"/>
      <x:c r="K56" s="3"/>
      <x:c r="L56" s="3"/>
    </x:row>
    <x:row r="57" ht="26" customHeight="1">
      <x:c r="A57" s="2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</x:row>
    <x:row r="58" ht="26" customHeight="1">
      <x:c r="A58" s="2" t="str">
        <x:v>Observed weekly change</x:v>
      </x:c>
      <x:c r="B58" s="3" t="n">
        <x:f>C16-C15</x:f>
        <x:v>25</x:v>
      </x:c>
      <x:c r="C58" s="27" t="n">
        <x:f>B58/C15</x:f>
        <x:v>0.027777777777777776</x:v>
      </x:c>
      <x:c r="D58" s="3"/>
      <x:c r="E58" s="3"/>
      <x:c r="F58" s="3"/>
      <x:c r="G58" s="3"/>
      <x:c r="H58" s="3"/>
      <x:c r="I58" s="3"/>
      <x:c r="J58" s="3"/>
      <x:c r="K58" s="3"/>
      <x:c r="L58" s="3"/>
    </x:row>
    <x:row r="59" ht="26" customHeight="1">
      <x:c r="A59" s="2" t="str">
        <x:v>Reconciliation (zero)</x:v>
      </x:c>
      <x:c r="B59" s="3" t="n">
        <x:f>C55-C16</x:f>
        <x:v>0</x:v>
      </x:c>
      <x:c r="C59" s="3"/>
      <x:c r="D59" s="3" t="str">
        <x:v>Protection is 100; foundation change is zero.</x:v>
      </x:c>
      <x:c r="E59" s="3"/>
      <x:c r="F59" s="3"/>
      <x:c r="G59" s="3"/>
      <x:c r="H59" s="3"/>
      <x:c r="I59" s="3"/>
      <x:c r="J59" s="3"/>
      <x:c r="K59" s="3"/>
      <x:c r="L59" s="3"/>
    </x:row>
    <x:row r="60" ht="26" customHeight="1">
      <x:c r="A60" s="2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</x:row>
    <x:row r="61" ht="26" customHeight="1">
      <x:c r="A61" s="5" t="str">
        <x:v>Keep −100 reset and +100 protection together. With unchanged service, the +25 weekly growth is −20 external +30 campaign +15 unexplained.</x:v>
      </x:c>
      <x:c r="B61" s="17"/>
      <x:c r="C61" s="17"/>
      <x:c r="D61" s="17"/>
      <x:c r="E61" s="17"/>
      <x:c r="F61" s="17"/>
      <x:c r="G61" s="17"/>
      <x:c r="H61" s="17"/>
      <x:c r="I61" s="17"/>
      <x:c r="J61" s="17"/>
      <x:c r="K61" s="17"/>
      <x:c r="L61" s="17"/>
    </x:row>
    <x:row r="62" ht="26" customHeight="1">
      <x:c r="A62" s="2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</x:row>
    <x:row r="63" ht="26" customHeight="1">
      <x:c r="A63" s="7" t="str">
        <x:v>6. The raw-data gap is visible from the beginning</x:v>
      </x:c>
      <x:c r="B63" s="19"/>
      <x:c r="C63" s="19"/>
      <x:c r="D63" s="19"/>
      <x:c r="E63" s="19"/>
      <x:c r="F63" s="19"/>
      <x:c r="G63" s="19"/>
      <x:c r="H63" s="19"/>
      <x:c r="I63" s="19"/>
      <x:c r="J63" s="19"/>
      <x:c r="K63" s="19"/>
      <x:c r="L63" s="19"/>
    </x:row>
    <x:row r="64" ht="26" customHeight="1">
      <x:c r="A64" s="5" t="str">
        <x:v>Hours open is Missing in every raw row. Its effect cannot be estimated. The reporting residual is 925 − 910 = 15 GC; it is not a measured hours contribution.</x:v>
      </x:c>
      <x:c r="B64" s="17"/>
      <x:c r="C64" s="17"/>
      <x:c r="D64" s="17"/>
      <x:c r="E64" s="17"/>
      <x:c r="F64" s="17"/>
      <x:c r="G64" s="17"/>
      <x:c r="H64" s="17"/>
      <x:c r="I64" s="17"/>
      <x:c r="J64" s="17"/>
      <x:c r="K64" s="17"/>
      <x:c r="L64" s="17"/>
    </x:row>
    <x:row r="65" ht="26" customHeight="1">
      <x:c r="A65" s="5" t="str">
        <x:v>Obtain actual hours by restaurant-week, join them to these raw records, then refit. Missing variables may affect both the residual and estimated driver effects.</x:v>
      </x:c>
      <x:c r="B65" s="17"/>
      <x:c r="C65" s="17"/>
      <x:c r="D65" s="17"/>
      <x:c r="E65" s="17"/>
      <x:c r="F65" s="17"/>
      <x:c r="G65" s="17"/>
      <x:c r="H65" s="17"/>
      <x:c r="I65" s="17"/>
      <x:c r="J65" s="17"/>
      <x:c r="K65" s="17"/>
      <x:c r="L65" s="17"/>
    </x:row>
    <x:row r="66" ht="26" customHeight="1">
      <x:c r="A66" s="5" t="str">
        <x:v>This example covers one foundation lever and no interactions. Production MVM needs more weeks, controls, validated weak states, and jointly estimated effects.</x:v>
      </x:c>
      <x:c r="B66" s="17"/>
      <x:c r="C66" s="17"/>
      <x:c r="D66" s="17"/>
      <x:c r="E66" s="17"/>
      <x:c r="F66" s="17"/>
      <x:c r="G66" s="17"/>
      <x:c r="H66" s="17"/>
      <x:c r="I66" s="17"/>
      <x:c r="J66" s="17"/>
      <x:c r="K66" s="17"/>
      <x:c r="L66" s="17"/>
    </x:row>
    <x:row r="67" ht="26" customHeight="1">
      <x:c r="A67" s="5" t="str">
        <x:v>Week 9 and Week 10 are held out of training. This is a weekly bridge; for YoY, use comparable weeks across years with appropriate seasonality controls.</x:v>
      </x:c>
      <x:c r="B67" s="17"/>
      <x:c r="C67" s="17"/>
      <x:c r="D67" s="17"/>
      <x:c r="E67" s="17"/>
      <x:c r="F67" s="17"/>
      <x:c r="G67" s="17"/>
      <x:c r="H67" s="17"/>
      <x:c r="I67" s="17"/>
      <x:c r="J67" s="17"/>
      <x:c r="K67" s="17"/>
      <x:c r="L67" s="17"/>
    </x:row>
    <x:row r="68" ht="26" customHeight="1">
      <x:c r="A68" s="5" t="str">
        <x:v>Numeric explanations describe the original inputs. Formulas and chart recalculate. This is a mechanics demonstration, not causal evidence from eight weeks.</x:v>
      </x:c>
      <x:c r="B68" s="17"/>
      <x:c r="C68" s="17"/>
      <x:c r="D68" s="17"/>
      <x:c r="E68" s="17"/>
      <x:c r="F68" s="17"/>
      <x:c r="G68" s="17"/>
      <x:c r="H68" s="17"/>
      <x:c r="I68" s="17"/>
      <x:c r="J68" s="17"/>
      <x:c r="K68" s="17"/>
      <x:c r="L68" s="17"/>
    </x:row>
    <x:row r="69" ht="26" customHeight="1">
      <x:c r="A69" s="2"/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</x:row>
    <x:row r="70" ht="26" customHeight="1">
      <x:c r="A70" s="7" t="str">
        <x:v>Chart calculation cells</x:v>
      </x:c>
      <x:c r="B70" s="19"/>
      <x:c r="C70" s="19"/>
      <x:c r="D70" s="19"/>
      <x:c r="E70" s="19"/>
      <x:c r="F70" s="19"/>
      <x:c r="G70" s="19"/>
      <x:c r="H70" s="19"/>
      <x:c r="I70" s="19"/>
      <x:c r="J70" s="19"/>
      <x:c r="K70" s="19"/>
      <x:c r="L70" s="19"/>
    </x:row>
    <x:row r="71" ht="26" customHeight="1">
      <x:c r="A71" s="11" t="str">
        <x:v>Step</x:v>
      </x:c>
      <x:c r="B71" s="23" t="str">
        <x:v>Invisible base</x:v>
      </x:c>
      <x:c r="C71" s="23" t="str">
        <x:v>Total</x:v>
      </x:c>
      <x:c r="D71" s="23" t="str">
        <x:v>Reset</x:v>
      </x:c>
      <x:c r="E71" s="23" t="str">
        <x:v>Foundation</x:v>
      </x:c>
      <x:c r="F71" s="23" t="str">
        <x:v>External</x:v>
      </x:c>
      <x:c r="G71" s="23" t="str">
        <x:v>Momentum</x:v>
      </x:c>
      <x:c r="H71" s="23" t="str">
        <x:v>Residual</x:v>
      </x:c>
      <x:c r="I71" s="3"/>
      <x:c r="J71" s="3"/>
      <x:c r="K71" s="3"/>
      <x:c r="L71" s="3"/>
    </x:row>
    <x:row r="72" ht="26" customHeight="1">
      <x:c r="A72" s="2" t="str">
        <x:f>A49</x:f>
        <x:v>Reference actual</x:v>
      </x:c>
      <x:c r="B72" s="3" t="n">
        <x:f>0</x:f>
        <x:v>0</x:v>
      </x:c>
      <x:c r="C72" s="3" t="n">
        <x:f>B49</x:f>
        <x:v>900</x:v>
      </x:c>
      <x:c r="D72" s="3" t="n">
        <x:v>0</x:v>
      </x:c>
      <x:c r="E72" s="3" t="n">
        <x:v>0</x:v>
      </x:c>
      <x:c r="F72" s="3" t="n">
        <x:v>0</x:v>
      </x:c>
      <x:c r="G72" s="3" t="n">
        <x:v>0</x:v>
      </x:c>
      <x:c r="H72" s="3" t="n">
        <x:v>0</x:v>
      </x:c>
      <x:c r="I72" s="3"/>
      <x:c r="J72" s="3"/>
      <x:c r="K72" s="3"/>
      <x:c r="L72" s="3"/>
    </x:row>
    <x:row r="73" ht="26" customHeight="1">
      <x:c r="A73" s="2" t="str">
        <x:f>A50</x:f>
        <x:v>Reset to weak reference</x:v>
      </x:c>
      <x:c r="B73" s="3" t="n">
        <x:f>MIN(C49,C50)</x:f>
        <x:v>800</x:v>
      </x:c>
      <x:c r="C73" s="3" t="n">
        <x:v>0</x:v>
      </x:c>
      <x:c r="D73" s="3" t="n">
        <x:f>ABS(B50)</x:f>
        <x:v>100</x:v>
      </x:c>
      <x:c r="E73" s="3" t="n">
        <x:v>0</x:v>
      </x:c>
      <x:c r="F73" s="3" t="n">
        <x:v>0</x:v>
      </x:c>
      <x:c r="G73" s="3" t="n">
        <x:v>0</x:v>
      </x:c>
      <x:c r="H73" s="3" t="n">
        <x:v>0</x:v>
      </x:c>
      <x:c r="I73" s="3"/>
      <x:c r="J73" s="3"/>
      <x:c r="K73" s="3"/>
      <x:c r="L73" s="3"/>
    </x:row>
    <x:row r="74" ht="26" customHeight="1">
      <x:c r="A74" s="2" t="str">
        <x:f>A51</x:f>
        <x:v>Weak reference subtotal</x:v>
      </x:c>
      <x:c r="B74" s="3" t="n">
        <x:f>0</x:f>
        <x:v>0</x:v>
      </x:c>
      <x:c r="C74" s="3" t="n">
        <x:f>B51</x:f>
        <x:v>800</x:v>
      </x:c>
      <x:c r="D74" s="3" t="n">
        <x:v>0</x:v>
      </x:c>
      <x:c r="E74" s="3" t="n">
        <x:v>0</x:v>
      </x:c>
      <x:c r="F74" s="3" t="n">
        <x:v>0</x:v>
      </x:c>
      <x:c r="G74" s="3" t="n">
        <x:v>0</x:v>
      </x:c>
      <x:c r="H74" s="3" t="n">
        <x:v>0</x:v>
      </x:c>
      <x:c r="I74" s="3"/>
      <x:c r="J74" s="3"/>
      <x:c r="K74" s="3"/>
      <x:c r="L74" s="3"/>
    </x:row>
    <x:row r="75" ht="26" customHeight="1">
      <x:c r="A75" s="2" t="str">
        <x:f>A52</x:f>
        <x:v>Foundation protection</x:v>
      </x:c>
      <x:c r="B75" s="3" t="n">
        <x:f>MIN(C51,C52)</x:f>
        <x:v>800</x:v>
      </x:c>
      <x:c r="C75" s="3" t="n">
        <x:v>0</x:v>
      </x:c>
      <x:c r="D75" s="3" t="n">
        <x:v>0</x:v>
      </x:c>
      <x:c r="E75" s="3" t="n">
        <x:f>ABS(B52)</x:f>
        <x:v>100</x:v>
      </x:c>
      <x:c r="F75" s="3" t="n">
        <x:v>0</x:v>
      </x:c>
      <x:c r="G75" s="3" t="n">
        <x:v>0</x:v>
      </x:c>
      <x:c r="H75" s="3" t="n">
        <x:v>0</x:v>
      </x:c>
      <x:c r="I75" s="3"/>
      <x:c r="J75" s="3"/>
      <x:c r="K75" s="3"/>
      <x:c r="L75" s="3"/>
    </x:row>
    <x:row r="76" ht="26" customHeight="1">
      <x:c r="A76" s="2" t="str">
        <x:f>A53</x:f>
        <x:v>External context</x:v>
      </x:c>
      <x:c r="B76" s="3" t="n">
        <x:f>MIN(C52,C53)</x:f>
        <x:v>880</x:v>
      </x:c>
      <x:c r="C76" s="3" t="n">
        <x:v>0</x:v>
      </x:c>
      <x:c r="D76" s="3" t="n">
        <x:v>0</x:v>
      </x:c>
      <x:c r="E76" s="3" t="n">
        <x:v>0</x:v>
      </x:c>
      <x:c r="F76" s="3" t="n">
        <x:f>ABS(B53)</x:f>
        <x:v>20</x:v>
      </x:c>
      <x:c r="G76" s="3" t="n">
        <x:v>0</x:v>
      </x:c>
      <x:c r="H76" s="3" t="n">
        <x:v>0</x:v>
      </x:c>
      <x:c r="I76" s="3"/>
      <x:c r="J76" s="3"/>
      <x:c r="K76" s="3"/>
      <x:c r="L76" s="3"/>
    </x:row>
    <x:row r="77" ht="26" customHeight="1">
      <x:c r="A77" s="2" t="str">
        <x:f>A54</x:f>
        <x:v>Growth momentum</x:v>
      </x:c>
      <x:c r="B77" s="3" t="n">
        <x:f>MIN(C53,C54)</x:f>
        <x:v>880</x:v>
      </x:c>
      <x:c r="C77" s="3" t="n">
        <x:v>0</x:v>
      </x:c>
      <x:c r="D77" s="3" t="n">
        <x:v>0</x:v>
      </x:c>
      <x:c r="E77" s="3" t="n">
        <x:v>0</x:v>
      </x:c>
      <x:c r="F77" s="3" t="n">
        <x:v>0</x:v>
      </x:c>
      <x:c r="G77" s="3" t="n">
        <x:f>ABS(B54)</x:f>
        <x:v>30</x:v>
      </x:c>
      <x:c r="H77" s="3" t="n">
        <x:v>0</x:v>
      </x:c>
      <x:c r="I77" s="3"/>
      <x:c r="J77" s="3"/>
      <x:c r="K77" s="3"/>
      <x:c r="L77" s="3"/>
    </x:row>
    <x:row r="78" ht="26" customHeight="1">
      <x:c r="A78" s="2" t="str">
        <x:f>A55</x:f>
        <x:v>Unexplained gap</x:v>
      </x:c>
      <x:c r="B78" s="3" t="n">
        <x:f>MIN(C54,C55)</x:f>
        <x:v>910</x:v>
      </x:c>
      <x:c r="C78" s="3" t="n">
        <x:v>0</x:v>
      </x:c>
      <x:c r="D78" s="3" t="n">
        <x:v>0</x:v>
      </x:c>
      <x:c r="E78" s="3" t="n">
        <x:v>0</x:v>
      </x:c>
      <x:c r="F78" s="3" t="n">
        <x:v>0</x:v>
      </x:c>
      <x:c r="G78" s="3" t="n">
        <x:v>0</x:v>
      </x:c>
      <x:c r="H78" s="3" t="n">
        <x:f>ABS(B55)</x:f>
        <x:v>15</x:v>
      </x:c>
      <x:c r="I78" s="3"/>
      <x:c r="J78" s="3"/>
      <x:c r="K78" s="3"/>
      <x:c r="L78" s="3"/>
    </x:row>
    <x:row r="79" ht="26" customHeight="1">
      <x:c r="A79" s="2" t="str">
        <x:f>A56</x:f>
        <x:v>Reporting actual</x:v>
      </x:c>
      <x:c r="B79" s="3" t="n">
        <x:f>0</x:f>
        <x:v>0</x:v>
      </x:c>
      <x:c r="C79" s="3" t="n">
        <x:f>B56</x:f>
        <x:v>925</x:v>
      </x:c>
      <x:c r="D79" s="3" t="n">
        <x:v>0</x:v>
      </x:c>
      <x:c r="E79" s="3" t="n">
        <x:v>0</x:v>
      </x:c>
      <x:c r="F79" s="3" t="n">
        <x:v>0</x:v>
      </x:c>
      <x:c r="G79" s="3" t="n">
        <x:v>0</x:v>
      </x:c>
      <x:c r="H79" s="3" t="n">
        <x:v>0</x:v>
      </x:c>
      <x:c r="I79" s="3"/>
      <x:c r="J79" s="3"/>
      <x:c r="K79" s="3"/>
      <x:c r="L79" s="3"/>
    </x:row>
  </x:sheetData>
  <x:pageMargins left="0.7" right="0.7" top="0.75" bottom="0.75" header="0.3" footer="0.3"/>
  <x:drawing xmlns:r="http://schemas.openxmlformats.org/officeDocument/2006/relationships" r:id="Reec4aea4ae704ca6"/>
</x:worksheet>
</file>